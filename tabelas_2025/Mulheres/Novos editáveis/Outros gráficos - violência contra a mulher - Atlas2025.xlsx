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forumseguranca.sharepoint.com/sites/Projetos/Documentos Compartilhados/EM ANDAMENTO/Atlas da Violência 2025/Violência contra mulheres/"/>
    </mc:Choice>
  </mc:AlternateContent>
  <xr:revisionPtr revIDLastSave="911" documentId="8_{67147310-6A65-4BB6-BFFF-774D3147FC2F}" xr6:coauthVersionLast="47" xr6:coauthVersionMax="47" xr10:uidLastSave="{57E17F8D-6449-4923-85BC-041832B76E4C}"/>
  <bookViews>
    <workbookView minimized="1" xWindow="28680" yWindow="4575" windowWidth="20730" windowHeight="11160" firstSheet="6" activeTab="6" xr2:uid="{492154C5-7786-4574-BF8D-F715B7E92914}"/>
  </bookViews>
  <sheets>
    <sheet name="Gr x1" sheetId="3" r:id="rId1"/>
    <sheet name="Gr x2" sheetId="1" r:id="rId2"/>
    <sheet name="Gr x3" sheetId="5" r:id="rId3"/>
    <sheet name="Gr x4 a Gr x5" sheetId="7" r:id="rId4"/>
    <sheet name="Gr x6" sheetId="11" r:id="rId5"/>
    <sheet name="Tab x1" sheetId="12" r:id="rId6"/>
    <sheet name="pop_mulheres_PNADc2023" sheetId="10" r:id="rId7"/>
    <sheet name="RR negras e nao negras" sheetId="8" r:id="rId8"/>
    <sheet name="negras - nao negras" sheetId="6" r:id="rId9"/>
    <sheet name="variação hom. residencia x fora" sheetId="4" r:id="rId10"/>
  </sheets>
  <definedNames>
    <definedName name="_xlnm._FilterDatabase" localSheetId="1" hidden="1">'Gr x2'!$A$1:$C$28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2" l="1"/>
  <c r="C6" i="12" s="1"/>
  <c r="C5" i="11"/>
  <c r="C8" i="11"/>
  <c r="C3" i="11"/>
  <c r="C6" i="11"/>
  <c r="C7" i="11"/>
  <c r="C9" i="11"/>
  <c r="C4" i="11"/>
  <c r="H24" i="7"/>
  <c r="I35" i="7"/>
  <c r="I34" i="7"/>
  <c r="N5" i="7"/>
  <c r="N8" i="7"/>
  <c r="N17" i="7"/>
  <c r="N29" i="7"/>
  <c r="M5" i="7"/>
  <c r="M6" i="7"/>
  <c r="N6" i="7" s="1"/>
  <c r="M7" i="7"/>
  <c r="M8" i="7"/>
  <c r="M9" i="7"/>
  <c r="M10" i="7"/>
  <c r="M11" i="7"/>
  <c r="M12" i="7"/>
  <c r="M13" i="7"/>
  <c r="M14" i="7"/>
  <c r="M15" i="7"/>
  <c r="M16" i="7"/>
  <c r="M17" i="7"/>
  <c r="M18" i="7"/>
  <c r="N18" i="7" s="1"/>
  <c r="M19" i="7"/>
  <c r="M20" i="7"/>
  <c r="M21" i="7"/>
  <c r="M22" i="7"/>
  <c r="M23" i="7"/>
  <c r="M24" i="7"/>
  <c r="M25" i="7"/>
  <c r="M26" i="7"/>
  <c r="M27" i="7"/>
  <c r="M28" i="7"/>
  <c r="M29" i="7"/>
  <c r="M30" i="7"/>
  <c r="N30" i="7" s="1"/>
  <c r="M4" i="7"/>
  <c r="M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26" i="7"/>
  <c r="H27" i="7"/>
  <c r="H28" i="7"/>
  <c r="H29" i="7"/>
  <c r="H30" i="7"/>
  <c r="F29" i="10"/>
  <c r="E29" i="10"/>
  <c r="D29" i="10"/>
  <c r="C29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" i="10"/>
  <c r="K3" i="7"/>
  <c r="F3" i="7"/>
  <c r="H3" i="7" s="1"/>
  <c r="D36" i="1"/>
  <c r="I6" i="1" s="1"/>
  <c r="D29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2" i="8"/>
  <c r="C4" i="7"/>
  <c r="L4" i="7" s="1"/>
  <c r="N4" i="7" s="1"/>
  <c r="C5" i="7"/>
  <c r="L5" i="7" s="1"/>
  <c r="C6" i="7"/>
  <c r="L6" i="7" s="1"/>
  <c r="C7" i="7"/>
  <c r="G7" i="7" s="1"/>
  <c r="C8" i="7"/>
  <c r="L8" i="7" s="1"/>
  <c r="C9" i="7"/>
  <c r="G9" i="7" s="1"/>
  <c r="C10" i="7"/>
  <c r="G10" i="7" s="1"/>
  <c r="C11" i="7"/>
  <c r="G11" i="7" s="1"/>
  <c r="C12" i="7"/>
  <c r="G12" i="7" s="1"/>
  <c r="C13" i="7"/>
  <c r="G13" i="7" s="1"/>
  <c r="C14" i="7"/>
  <c r="G14" i="7" s="1"/>
  <c r="C15" i="7"/>
  <c r="G15" i="7" s="1"/>
  <c r="C16" i="7"/>
  <c r="G16" i="7" s="1"/>
  <c r="C17" i="7"/>
  <c r="L17" i="7" s="1"/>
  <c r="C18" i="7"/>
  <c r="L18" i="7" s="1"/>
  <c r="C19" i="7"/>
  <c r="L19" i="7" s="1"/>
  <c r="N19" i="7" s="1"/>
  <c r="C20" i="7"/>
  <c r="G20" i="7" s="1"/>
  <c r="C21" i="7"/>
  <c r="G21" i="7" s="1"/>
  <c r="C22" i="7"/>
  <c r="G22" i="7" s="1"/>
  <c r="C23" i="7"/>
  <c r="G23" i="7" s="1"/>
  <c r="C24" i="7"/>
  <c r="G24" i="7" s="1"/>
  <c r="C25" i="7"/>
  <c r="G25" i="7" s="1"/>
  <c r="C26" i="7"/>
  <c r="G26" i="7" s="1"/>
  <c r="C27" i="7"/>
  <c r="G27" i="7" s="1"/>
  <c r="C28" i="7"/>
  <c r="G28" i="7" s="1"/>
  <c r="C29" i="7"/>
  <c r="L29" i="7" s="1"/>
  <c r="C30" i="7"/>
  <c r="L30" i="7" s="1"/>
  <c r="J3" i="7"/>
  <c r="E3" i="7"/>
  <c r="C17" i="6"/>
  <c r="D17" i="6"/>
  <c r="E17" i="6"/>
  <c r="F17" i="6"/>
  <c r="G17" i="6"/>
  <c r="H17" i="6"/>
  <c r="I17" i="6"/>
  <c r="J17" i="6"/>
  <c r="K17" i="6"/>
  <c r="L17" i="6"/>
  <c r="B17" i="6"/>
  <c r="N11" i="6"/>
  <c r="N10" i="6"/>
  <c r="N9" i="6"/>
  <c r="M11" i="6"/>
  <c r="M10" i="6"/>
  <c r="M9" i="6"/>
  <c r="C11" i="6"/>
  <c r="D11" i="6"/>
  <c r="E11" i="6"/>
  <c r="F11" i="6"/>
  <c r="G11" i="6"/>
  <c r="H11" i="6"/>
  <c r="I11" i="6"/>
  <c r="J11" i="6"/>
  <c r="K11" i="6"/>
  <c r="L11" i="6"/>
  <c r="B11" i="6"/>
  <c r="B5" i="6"/>
  <c r="C3" i="6" s="1"/>
  <c r="B3" i="5"/>
  <c r="C5" i="12" l="1"/>
  <c r="C14" i="12"/>
  <c r="C13" i="12"/>
  <c r="C12" i="12"/>
  <c r="C11" i="12"/>
  <c r="C10" i="12"/>
  <c r="C9" i="12"/>
  <c r="C8" i="12"/>
  <c r="C7" i="12"/>
  <c r="I27" i="7"/>
  <c r="I15" i="7"/>
  <c r="I21" i="7"/>
  <c r="I9" i="7"/>
  <c r="I28" i="7"/>
  <c r="I26" i="7"/>
  <c r="I13" i="7"/>
  <c r="I14" i="7"/>
  <c r="I25" i="7"/>
  <c r="I23" i="7"/>
  <c r="I11" i="7"/>
  <c r="I16" i="7"/>
  <c r="I22" i="7"/>
  <c r="I10" i="7"/>
  <c r="I20" i="7"/>
  <c r="I7" i="7"/>
  <c r="I24" i="7"/>
  <c r="I12" i="7"/>
  <c r="I2" i="1"/>
  <c r="I3" i="1"/>
  <c r="I4" i="1"/>
  <c r="I5" i="1"/>
  <c r="C3" i="7"/>
  <c r="L3" i="7" s="1"/>
  <c r="N3" i="7" s="1"/>
  <c r="L28" i="7"/>
  <c r="N28" i="7" s="1"/>
  <c r="L26" i="7"/>
  <c r="N26" i="7" s="1"/>
  <c r="L25" i="7"/>
  <c r="N25" i="7" s="1"/>
  <c r="L24" i="7"/>
  <c r="N24" i="7" s="1"/>
  <c r="L12" i="7"/>
  <c r="N12" i="7" s="1"/>
  <c r="L27" i="7"/>
  <c r="N27" i="7" s="1"/>
  <c r="L13" i="7"/>
  <c r="N13" i="7" s="1"/>
  <c r="L11" i="7"/>
  <c r="N11" i="7" s="1"/>
  <c r="L10" i="7"/>
  <c r="N10" i="7" s="1"/>
  <c r="L21" i="7"/>
  <c r="N21" i="7" s="1"/>
  <c r="G8" i="7"/>
  <c r="I8" i="7" s="1"/>
  <c r="L20" i="7"/>
  <c r="N20" i="7" s="1"/>
  <c r="L9" i="7"/>
  <c r="N9" i="7" s="1"/>
  <c r="L16" i="7"/>
  <c r="N16" i="7" s="1"/>
  <c r="L23" i="7"/>
  <c r="N23" i="7" s="1"/>
  <c r="L15" i="7"/>
  <c r="N15" i="7" s="1"/>
  <c r="L22" i="7"/>
  <c r="N22" i="7" s="1"/>
  <c r="L14" i="7"/>
  <c r="N14" i="7" s="1"/>
  <c r="G5" i="7"/>
  <c r="I5" i="7" s="1"/>
  <c r="L7" i="7"/>
  <c r="N7" i="7" s="1"/>
  <c r="G6" i="7"/>
  <c r="I6" i="7" s="1"/>
  <c r="G19" i="7"/>
  <c r="I19" i="7" s="1"/>
  <c r="G4" i="7"/>
  <c r="I4" i="7" s="1"/>
  <c r="G30" i="7"/>
  <c r="I30" i="7" s="1"/>
  <c r="G18" i="7"/>
  <c r="I18" i="7" s="1"/>
  <c r="G29" i="7"/>
  <c r="I29" i="7" s="1"/>
  <c r="G17" i="7"/>
  <c r="I17" i="7" s="1"/>
  <c r="C4" i="6"/>
  <c r="C5" i="6" s="1"/>
  <c r="D3" i="5"/>
  <c r="E3" i="5"/>
  <c r="F3" i="5"/>
  <c r="G3" i="5"/>
  <c r="H3" i="5"/>
  <c r="I3" i="5"/>
  <c r="J3" i="5"/>
  <c r="C3" i="5"/>
  <c r="M5" i="4"/>
  <c r="M4" i="4"/>
  <c r="D12" i="4"/>
  <c r="E12" i="4"/>
  <c r="F12" i="4"/>
  <c r="G12" i="4"/>
  <c r="H12" i="4"/>
  <c r="I12" i="4"/>
  <c r="J12" i="4"/>
  <c r="K12" i="4"/>
  <c r="L12" i="4"/>
  <c r="C12" i="4"/>
  <c r="D11" i="4"/>
  <c r="E11" i="4"/>
  <c r="F11" i="4"/>
  <c r="G11" i="4"/>
  <c r="H11" i="4"/>
  <c r="I11" i="4"/>
  <c r="J11" i="4"/>
  <c r="K11" i="4"/>
  <c r="L11" i="4"/>
  <c r="C11" i="4"/>
  <c r="L7" i="4"/>
  <c r="K7" i="4"/>
  <c r="J7" i="4"/>
  <c r="I7" i="4"/>
  <c r="H7" i="4"/>
  <c r="G7" i="4"/>
  <c r="F7" i="4"/>
  <c r="E7" i="4"/>
  <c r="D7" i="4"/>
  <c r="C7" i="4"/>
  <c r="B7" i="4"/>
  <c r="G3" i="7" l="1"/>
  <c r="I3" i="7" s="1"/>
  <c r="H3" i="1" l="1"/>
  <c r="H4" i="1"/>
  <c r="H5" i="1"/>
  <c r="H6" i="1"/>
  <c r="H2" i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tc={3AE8BA40-535D-4F9B-A844-E792E35DA52D}</author>
  </authors>
  <commentList>
    <comment ref="F27" authorId="0" shapeId="0" xr:uid="{3AE8BA40-535D-4F9B-A844-E792E35DA5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Conferir aqui como colocar o "IBGE - PNADc, 2023" como fonte.</t>
      </text>
    </comment>
  </commentList>
</comments>
</file>

<file path=xl/sharedStrings.xml><?xml version="1.0" encoding="utf-8"?>
<sst xmlns="http://schemas.openxmlformats.org/spreadsheetml/2006/main" count="348" uniqueCount="149">
  <si>
    <t>Gráfico x1. Brasil e as quatro UFs com as menores taxas em 2023: Taxa de homicídios registrados de mulheres por 100 mil habitantes (2013 a 2023)</t>
  </si>
  <si>
    <t>Brasil</t>
  </si>
  <si>
    <t>São Paulo</t>
  </si>
  <si>
    <t>Minas Gerais</t>
  </si>
  <si>
    <t>Distrito Federal</t>
  </si>
  <si>
    <t>Santa Catarina</t>
  </si>
  <si>
    <t>Fonte: IBGE - Pesquisa Nacional por Amostra de Domicílios Contínua (PNADc) e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</t>
  </si>
  <si>
    <t>UF</t>
  </si>
  <si>
    <t>região</t>
  </si>
  <si>
    <t>n. absolutos 2023</t>
  </si>
  <si>
    <t>pop_mulheres (PNADc 2023)</t>
  </si>
  <si>
    <t>n. absolutos</t>
  </si>
  <si>
    <t>Homicídios femininos registrados (%)</t>
  </si>
  <si>
    <t>População de mulheres (%)</t>
  </si>
  <si>
    <t>Acre</t>
  </si>
  <si>
    <t>norte</t>
  </si>
  <si>
    <t>Centro-oeste</t>
  </si>
  <si>
    <t>Alagoas</t>
  </si>
  <si>
    <t>nordeste</t>
  </si>
  <si>
    <t>Nordeste</t>
  </si>
  <si>
    <t>Amapá</t>
  </si>
  <si>
    <t>Norte</t>
  </si>
  <si>
    <t>Amazonas</t>
  </si>
  <si>
    <t>Sudeste</t>
  </si>
  <si>
    <t>Bahia</t>
  </si>
  <si>
    <t>Sul</t>
  </si>
  <si>
    <t>Ceará</t>
  </si>
  <si>
    <t>Total Geral</t>
  </si>
  <si>
    <t>centro-oeste</t>
  </si>
  <si>
    <t>Espírito Santo</t>
  </si>
  <si>
    <t>sudeste</t>
  </si>
  <si>
    <t>Goiás</t>
  </si>
  <si>
    <t>Maranhão</t>
  </si>
  <si>
    <t>Gráfico x2. Distribuição percentual dos homicídios femininos registrados em comparação à população feminina, por região (2023)</t>
  </si>
  <si>
    <t>Mato Grosso</t>
  </si>
  <si>
    <t>Mato Grosso do Sul</t>
  </si>
  <si>
    <t>Pará</t>
  </si>
  <si>
    <t>Paraíba</t>
  </si>
  <si>
    <t>Paraná</t>
  </si>
  <si>
    <t>sul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</si>
  <si>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</si>
  <si>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</si>
  <si>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</si>
  <si>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</si>
  <si>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</si>
  <si>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</si>
  <si>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</si>
  <si>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Sergipe</t>
  </si>
  <si>
    <t>Fonte: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IBGE - PNADc, 2023.</t>
  </si>
  <si>
    <t>Tocantins</t>
  </si>
  <si>
    <t>Centro Oeste</t>
  </si>
  <si>
    <t>Total</t>
  </si>
  <si>
    <t>Feminicídio (FBSP)</t>
  </si>
  <si>
    <t>Gráfico x3. Evolução dos feminicídios (segundo registros policiais) e homicídios de mulheres em residência (segundo registros da saúde) (2015 a 2023)</t>
  </si>
  <si>
    <t>Homicídios nas residências (SIM)</t>
  </si>
  <si>
    <t>total homicídios (SIM)</t>
  </si>
  <si>
    <t>Fonte FBSP - Anuário n.</t>
  </si>
  <si>
    <t>Fonte: Fonte: IBGE - Pesquisa Nacional por Amostra de Domicílios Contínua (PNADc) e MS/SVSA/CGIAE - Sistema de Informações sobre Mortalidade - SIM. Elaboração: Diest/Ipea e FBSP. Nota: O número de homicídios de mulheres foi obtido pela soma das seguintes CIDs 10: X85-Y09 e Y35 - Y36, ou seja, óbitos causados por agressão, intervenção legal e operações de guerra. O local de ocorrência foi obtido a partir do terceiro dígito da causa base do óbito. FBSP, 2017 a 2024.</t>
  </si>
  <si>
    <t>Tabela x. Brasil e Ufs: Homicídios (n. absolutos e %) e população feminina (n. absolutos e %), por raça/cor (2023)</t>
  </si>
  <si>
    <t>Região</t>
  </si>
  <si>
    <t>Homídio de mulheres - total de registros</t>
  </si>
  <si>
    <t>População de mulheres (dados válidos - negras e não negras)</t>
  </si>
  <si>
    <t>Homicídio  de mulheres negras - n. absolutos</t>
  </si>
  <si>
    <t>População de mulheres negras -  n. absolutos - PNADc 2023</t>
  </si>
  <si>
    <t>Homicídios de mulheres negras  (%)</t>
  </si>
  <si>
    <t>População de mulheres negras (%)</t>
  </si>
  <si>
    <t>Diferença entre % de mortes e de pop</t>
  </si>
  <si>
    <t>Homicídio  de mulheres não negras - n. absolutos</t>
  </si>
  <si>
    <t>População de mulheres não negras -  n. absolutos - PNADc 2023</t>
  </si>
  <si>
    <t>Homicídios de mulheres não negras  (%)</t>
  </si>
  <si>
    <t>População de mulheres não negras (%)</t>
  </si>
  <si>
    <t>-</t>
  </si>
  <si>
    <t>Gráfico x4. Brasil e Ufs: Homicídios de mulheres negras: representatividade nas mortes em relação à população - Brasil e Ufs (2023)</t>
  </si>
  <si>
    <t>Fonte: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negras é a soma de pretas e pardas.  IBGE - PNADc, 2023.</t>
  </si>
  <si>
    <t>Gráfico x5. Brasil e Ufs: Homicídios de mulheres não negras: representatividade nas mortes em relação à população - Brasil e Ufs (2023)</t>
  </si>
  <si>
    <t>Fonte: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não negras foi obtido pela soma de brancas, amarelas e indígenas.  IBGE - PNADc, 2023.</t>
  </si>
  <si>
    <t>Tipo de violência</t>
  </si>
  <si>
    <t>Doméstica</t>
  </si>
  <si>
    <t>Gráfico x6. Brasil: Percentual de mulheres vítimas de violência doméstica e intrafamiliar, por tipo de violência (2023)</t>
  </si>
  <si>
    <t>N. absolutos</t>
  </si>
  <si>
    <t>%</t>
  </si>
  <si>
    <t>Violência física</t>
  </si>
  <si>
    <t>Multipla</t>
  </si>
  <si>
    <t>Negligência</t>
  </si>
  <si>
    <t>Violência psicológica</t>
  </si>
  <si>
    <t>Violência sexual</t>
  </si>
  <si>
    <t>Outro</t>
  </si>
  <si>
    <t>Fonte: Sinan/MS. Elaboração: Diest/Ipea e FBSP. Nota: Microdados do Sinan referentes a 2022 são preliminares e foram coletados em fevereiro de 2024.</t>
  </si>
  <si>
    <t>Tabela x1. Brasil: Número e percentual de mulheres vítimas de agressão por local da ocorrência (2023)</t>
  </si>
  <si>
    <t>Local de Ocorrência</t>
  </si>
  <si>
    <t>Total dados válidos</t>
  </si>
  <si>
    <t>Residência</t>
  </si>
  <si>
    <t>Via pública</t>
  </si>
  <si>
    <t>Bar ou similar</t>
  </si>
  <si>
    <t>Comércio/Serviços</t>
  </si>
  <si>
    <t>Escola</t>
  </si>
  <si>
    <t>Habitação coletiva</t>
  </si>
  <si>
    <t>Local de prática esportiva</t>
  </si>
  <si>
    <t>Indústrias/Construção</t>
  </si>
  <si>
    <t>Fonte: Sinan/MS. Elaboração: Diest/Ipea e FBSP. Nota: Microdados do Sinan referentes a 2023 são preliminares e foram coletados em fevereiro de 2025.</t>
  </si>
  <si>
    <t>cuf</t>
  </si>
  <si>
    <t>M.Negro</t>
  </si>
  <si>
    <t>M.Não_Negra</t>
  </si>
  <si>
    <t>soma (dados válidos)</t>
  </si>
  <si>
    <t>mulheres total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</si>
  <si>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</si>
  <si>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</si>
  <si>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</si>
  <si>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</si>
  <si>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</si>
  <si>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</si>
  <si>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</si>
  <si>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</si>
  <si>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</si>
  <si>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</si>
  <si>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</si>
  <si>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</si>
  <si>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</si>
  <si>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</si>
  <si>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</si>
  <si>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</si>
  <si>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</si>
  <si>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</si>
  <si>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</si>
  <si>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</si>
  <si>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</si>
  <si>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</si>
  <si>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</si>
  <si>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</si>
  <si>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</si>
  <si>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</si>
  <si>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</si>
  <si>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TOTAL</t>
  </si>
  <si>
    <t>Taxa 2023 - negras</t>
  </si>
  <si>
    <t>Taxa 2023 - não negras</t>
  </si>
  <si>
    <t>Número de vítimas de homicídio feminino, por raça/cor (2023)</t>
  </si>
  <si>
    <t>Negras</t>
  </si>
  <si>
    <t>Não negras</t>
  </si>
  <si>
    <t>Série histórica: Número de vítimas de homicídio feminino, por raça/cor (2013 a 2023)</t>
  </si>
  <si>
    <t>Total no período</t>
  </si>
  <si>
    <t>% total no periodo</t>
  </si>
  <si>
    <t>Série histórica: Taxa de homicídio feminino, por raça/cor (2013 a 2023)</t>
  </si>
  <si>
    <t>Brasil: Taxa de homicídios registrados de mulheres por 100 mil habitantes dentro e fora das residências (2013 a 2023)</t>
  </si>
  <si>
    <t>Variação na década</t>
  </si>
  <si>
    <t>Taxa de homicídios na residência</t>
  </si>
  <si>
    <t>Taxa de homicídios fora da residência</t>
  </si>
  <si>
    <t>%homicídio nas residências (SIM)</t>
  </si>
  <si>
    <t>%Feminicídios em relação aos homicídios de mulheres (FBSP)</t>
  </si>
  <si>
    <t>Variação (%) da 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</si>
</sst>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%"/>
    <numFmt numFmtId="166" formatCode="_(* #,##0.0_);_(* \(#,##0.0\);_(* &quot;-&quot;??_);_(@_)"/>
    <numFmt numFmtId="167" formatCode="#,##0.0"/>
    <numFmt numFmtId="168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22"/>
      <color rgb="FFFF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166" fontId="2" fillId="0" borderId="0" xfId="0" applyNumberFormat="1" applyFont="1"/>
    <xf numFmtId="165" fontId="2" fillId="0" borderId="0" xfId="1" applyNumberFormat="1" applyFont="1" applyFill="1"/>
    <xf numFmtId="0" fontId="4" fillId="0" borderId="0" xfId="0" applyFont="1" applyAlignment="1">
      <alignment vertical="center"/>
    </xf>
    <xf numFmtId="164" fontId="5" fillId="0" borderId="0" xfId="0" applyNumberFormat="1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167" fontId="8" fillId="0" borderId="0" xfId="0" applyNumberFormat="1" applyFont="1"/>
    <xf numFmtId="164" fontId="8" fillId="0" borderId="0" xfId="0" applyNumberFormat="1" applyFont="1"/>
    <xf numFmtId="3" fontId="8" fillId="0" borderId="0" xfId="0" applyNumberFormat="1" applyFont="1"/>
    <xf numFmtId="0" fontId="9" fillId="0" borderId="0" xfId="0" applyFont="1"/>
    <xf numFmtId="3" fontId="9" fillId="0" borderId="0" xfId="0" applyNumberFormat="1" applyFont="1"/>
    <xf numFmtId="0" fontId="0" fillId="0" borderId="0" xfId="0" applyAlignment="1">
      <alignment horizontal="center" vertical="center" wrapText="1"/>
    </xf>
    <xf numFmtId="167" fontId="9" fillId="0" borderId="0" xfId="0" applyNumberFormat="1" applyFont="1"/>
    <xf numFmtId="164" fontId="9" fillId="0" borderId="0" xfId="0" applyNumberFormat="1" applyFont="1"/>
    <xf numFmtId="167" fontId="9" fillId="0" borderId="1" xfId="0" applyNumberFormat="1" applyFont="1" applyBorder="1"/>
    <xf numFmtId="167" fontId="10" fillId="0" borderId="0" xfId="0" applyNumberFormat="1" applyFont="1" applyAlignment="1">
      <alignment horizontal="right" vertical="center" wrapText="1"/>
    </xf>
    <xf numFmtId="167" fontId="9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0" fillId="0" borderId="0" xfId="0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3" fontId="10" fillId="0" borderId="0" xfId="0" applyNumberFormat="1" applyFont="1" applyAlignment="1">
      <alignment vertical="center" wrapText="1"/>
    </xf>
    <xf numFmtId="167" fontId="10" fillId="0" borderId="0" xfId="0" applyNumberFormat="1" applyFont="1" applyAlignment="1">
      <alignment vertical="center" wrapText="1"/>
    </xf>
    <xf numFmtId="167" fontId="10" fillId="0" borderId="1" xfId="0" applyNumberFormat="1" applyFont="1" applyBorder="1"/>
    <xf numFmtId="0" fontId="0" fillId="0" borderId="0" xfId="0" applyAlignment="1">
      <alignment horizontal="right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0" fontId="0" fillId="2" borderId="0" xfId="0" applyFill="1"/>
    <xf numFmtId="0" fontId="12" fillId="0" borderId="0" xfId="0" applyFont="1" applyAlignment="1">
      <alignment horizontal="center"/>
    </xf>
    <xf numFmtId="168" fontId="0" fillId="0" borderId="0" xfId="2" applyNumberFormat="1" applyFont="1"/>
    <xf numFmtId="0" fontId="12" fillId="0" borderId="0" xfId="0" applyFont="1" applyAlignment="1">
      <alignment horizontal="left"/>
    </xf>
    <xf numFmtId="168" fontId="0" fillId="0" borderId="0" xfId="0" applyNumberFormat="1"/>
    <xf numFmtId="3" fontId="10" fillId="0" borderId="0" xfId="0" applyNumberFormat="1" applyFont="1" applyAlignment="1">
      <alignment horizontal="right" vertical="center" wrapText="1"/>
    </xf>
    <xf numFmtId="0" fontId="10" fillId="0" borderId="3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167" fontId="9" fillId="0" borderId="0" xfId="0" applyNumberFormat="1" applyFont="1" applyAlignment="1">
      <alignment vertical="center" wrapText="1"/>
    </xf>
    <xf numFmtId="167" fontId="0" fillId="0" borderId="0" xfId="0" applyNumberForma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13" fillId="0" borderId="0" xfId="0" applyFont="1"/>
    <xf numFmtId="3" fontId="13" fillId="0" borderId="0" xfId="0" applyNumberFormat="1" applyFont="1"/>
    <xf numFmtId="164" fontId="13" fillId="0" borderId="0" xfId="0" applyNumberFormat="1" applyFont="1"/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/>
    <xf numFmtId="3" fontId="14" fillId="0" borderId="4" xfId="0" applyNumberFormat="1" applyFont="1" applyBorder="1"/>
    <xf numFmtId="164" fontId="14" fillId="0" borderId="4" xfId="0" applyNumberFormat="1" applyFont="1" applyBorder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 x1'!$A$2</c:f>
              <c:strCache>
                <c:ptCount val="1"/>
                <c:pt idx="0">
                  <c:v>Brasil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'Gr x1'!$B$1:$L$1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'Gr x1'!$B$2:$L$2</c:f>
              <c:numCache>
                <c:formatCode>General</c:formatCode>
                <c:ptCount val="11"/>
                <c:pt idx="0">
                  <c:v>4.7</c:v>
                </c:pt>
                <c:pt idx="1">
                  <c:v>4.7</c:v>
                </c:pt>
                <c:pt idx="2">
                  <c:v>4.5</c:v>
                </c:pt>
                <c:pt idx="3">
                  <c:v>4.4000000000000004</c:v>
                </c:pt>
                <c:pt idx="4">
                  <c:v>4.7</c:v>
                </c:pt>
                <c:pt idx="5">
                  <c:v>4.3</c:v>
                </c:pt>
                <c:pt idx="6">
                  <c:v>3.5</c:v>
                </c:pt>
                <c:pt idx="7">
                  <c:v>3.6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6-460A-8692-642F9CE88A50}"/>
            </c:ext>
          </c:extLst>
        </c:ser>
        <c:ser>
          <c:idx val="1"/>
          <c:order val="1"/>
          <c:tx>
            <c:strRef>
              <c:f>'Gr x1'!$A$3</c:f>
              <c:strCache>
                <c:ptCount val="1"/>
                <c:pt idx="0">
                  <c:v>São Paulo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'Gr x1'!$B$1:$L$1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'Gr x1'!$B$3:$L$3</c:f>
              <c:numCache>
                <c:formatCode>General</c:formatCode>
                <c:ptCount val="11"/>
                <c:pt idx="0">
                  <c:v>2.8</c:v>
                </c:pt>
                <c:pt idx="1">
                  <c:v>2.7</c:v>
                </c:pt>
                <c:pt idx="2">
                  <c:v>2.5</c:v>
                </c:pt>
                <c:pt idx="3">
                  <c:v>2.2000000000000002</c:v>
                </c:pt>
                <c:pt idx="4">
                  <c:v>2.1</c:v>
                </c:pt>
                <c:pt idx="5">
                  <c:v>1.9</c:v>
                </c:pt>
                <c:pt idx="6">
                  <c:v>1.7</c:v>
                </c:pt>
                <c:pt idx="7">
                  <c:v>1.7</c:v>
                </c:pt>
                <c:pt idx="8">
                  <c:v>1.4</c:v>
                </c:pt>
                <c:pt idx="9">
                  <c:v>1.5</c:v>
                </c:pt>
                <c:pt idx="10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6-460A-8692-642F9CE88A50}"/>
            </c:ext>
          </c:extLst>
        </c:ser>
        <c:ser>
          <c:idx val="2"/>
          <c:order val="2"/>
          <c:tx>
            <c:strRef>
              <c:f>'Gr x1'!$A$4</c:f>
              <c:strCache>
                <c:ptCount val="1"/>
                <c:pt idx="0">
                  <c:v>Minas Gerais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'Gr x1'!$B$1:$L$1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'Gr x1'!$B$4:$L$4</c:f>
              <c:numCache>
                <c:formatCode>General</c:formatCode>
                <c:ptCount val="11"/>
                <c:pt idx="0">
                  <c:v>4.0999999999999996</c:v>
                </c:pt>
                <c:pt idx="1">
                  <c:v>3.9</c:v>
                </c:pt>
                <c:pt idx="2">
                  <c:v>3.9</c:v>
                </c:pt>
                <c:pt idx="3">
                  <c:v>3.5</c:v>
                </c:pt>
                <c:pt idx="4">
                  <c:v>3.7</c:v>
                </c:pt>
                <c:pt idx="5">
                  <c:v>3.3</c:v>
                </c:pt>
                <c:pt idx="6">
                  <c:v>2.8</c:v>
                </c:pt>
                <c:pt idx="7">
                  <c:v>2.5</c:v>
                </c:pt>
                <c:pt idx="8">
                  <c:v>2.2999999999999998</c:v>
                </c:pt>
                <c:pt idx="9">
                  <c:v>2.5</c:v>
                </c:pt>
                <c:pt idx="10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76-460A-8692-642F9CE88A50}"/>
            </c:ext>
          </c:extLst>
        </c:ser>
        <c:ser>
          <c:idx val="3"/>
          <c:order val="3"/>
          <c:tx>
            <c:strRef>
              <c:f>'Gr x1'!$A$5</c:f>
              <c:strCache>
                <c:ptCount val="1"/>
                <c:pt idx="0">
                  <c:v>Distrito Federal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'Gr x1'!$B$1:$L$1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'Gr x1'!$B$5:$L$5</c:f>
              <c:numCache>
                <c:formatCode>General</c:formatCode>
                <c:ptCount val="11"/>
                <c:pt idx="0">
                  <c:v>5.4</c:v>
                </c:pt>
                <c:pt idx="1">
                  <c:v>4.0999999999999996</c:v>
                </c:pt>
                <c:pt idx="2">
                  <c:v>3.9</c:v>
                </c:pt>
                <c:pt idx="3">
                  <c:v>4.3</c:v>
                </c:pt>
                <c:pt idx="4">
                  <c:v>3</c:v>
                </c:pt>
                <c:pt idx="5">
                  <c:v>3.6</c:v>
                </c:pt>
                <c:pt idx="6">
                  <c:v>3.5</c:v>
                </c:pt>
                <c:pt idx="7">
                  <c:v>2.2000000000000002</c:v>
                </c:pt>
                <c:pt idx="8">
                  <c:v>2.9</c:v>
                </c:pt>
                <c:pt idx="9">
                  <c:v>2.2000000000000002</c:v>
                </c:pt>
                <c:pt idx="10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76-460A-8692-642F9CE88A50}"/>
            </c:ext>
          </c:extLst>
        </c:ser>
        <c:ser>
          <c:idx val="4"/>
          <c:order val="4"/>
          <c:tx>
            <c:strRef>
              <c:f>'Gr x1'!$A$6</c:f>
              <c:strCache>
                <c:ptCount val="1"/>
                <c:pt idx="0">
                  <c:v>Santa Catarina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'Gr x1'!$B$1:$L$1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'Gr x1'!$B$6:$L$6</c:f>
              <c:numCache>
                <c:formatCode>General</c:formatCode>
                <c:ptCount val="11"/>
                <c:pt idx="0">
                  <c:v>3.1</c:v>
                </c:pt>
                <c:pt idx="1">
                  <c:v>3.3</c:v>
                </c:pt>
                <c:pt idx="2">
                  <c:v>2.8</c:v>
                </c:pt>
                <c:pt idx="3">
                  <c:v>3.1</c:v>
                </c:pt>
                <c:pt idx="4">
                  <c:v>3.1</c:v>
                </c:pt>
                <c:pt idx="5">
                  <c:v>2.6</c:v>
                </c:pt>
                <c:pt idx="6">
                  <c:v>3.2</c:v>
                </c:pt>
                <c:pt idx="7">
                  <c:v>2.4</c:v>
                </c:pt>
                <c:pt idx="8">
                  <c:v>2.5</c:v>
                </c:pt>
                <c:pt idx="9">
                  <c:v>2.5</c:v>
                </c:pt>
                <c:pt idx="10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76-460A-8692-642F9CE88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221871"/>
        <c:axId val="2101222351"/>
      </c:lineChart>
      <c:catAx>
        <c:axId val="21012218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101222351"/>
        <c:crosses val="autoZero"/>
        <c:auto val="1"/>
        <c:lblAlgn val="ctr"/>
        <c:lblOffset val="100"/>
        <c:noMultiLvlLbl val="0"/>
      </c:catAx>
      <c:valAx>
        <c:axId val="210122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Taxa</a:t>
                </a:r>
                <a:r>
                  <a:rPr lang="pt-BR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 homicídios</a:t>
                </a:r>
                <a:endParaRPr lang="pt-BR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0979022422982108E-2"/>
              <c:y val="0.26867966457875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10122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 x2'!$H$1</c:f>
              <c:strCache>
                <c:ptCount val="1"/>
                <c:pt idx="0">
                  <c:v>Homicídios femininos registrados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 x2'!$F$2:$F$6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'Gr x2'!$H$2:$H$6</c:f>
              <c:numCache>
                <c:formatCode>0.0%</c:formatCode>
                <c:ptCount val="5"/>
                <c:pt idx="0">
                  <c:v>8.0963361516781962E-2</c:v>
                </c:pt>
                <c:pt idx="1">
                  <c:v>0.37509607993850885</c:v>
                </c:pt>
                <c:pt idx="2">
                  <c:v>0.11837048424289008</c:v>
                </c:pt>
                <c:pt idx="3">
                  <c:v>0.28234691263130923</c:v>
                </c:pt>
                <c:pt idx="4">
                  <c:v>0.14322316167050986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5-4D93-AB69-0F6C0BA51B55}"/>
            </c:ext>
          </c:extLst>
        </c:ser>
        <c:ser>
          <c:idx val="1"/>
          <c:order val="1"/>
          <c:tx>
            <c:strRef>
              <c:f>'Gr x2'!$I$1</c:f>
              <c:strCache>
                <c:ptCount val="1"/>
                <c:pt idx="0">
                  <c:v>População de mulheres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8.796734818272965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25-4D93-AB69-0F6C0BA51B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 x2'!$F$2:$F$6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'Gr x2'!$I$2:$I$6</c:f>
              <c:numCache>
                <c:formatCode>0.0%</c:formatCode>
                <c:ptCount val="5"/>
                <c:pt idx="0">
                  <c:v>7.7748374452665706E-2</c:v>
                </c:pt>
                <c:pt idx="1">
                  <c:v>0.27298664922266097</c:v>
                </c:pt>
                <c:pt idx="2">
                  <c:v>8.6192618412699651E-2</c:v>
                </c:pt>
                <c:pt idx="3">
                  <c:v>0.42177844118040081</c:v>
                </c:pt>
                <c:pt idx="4">
                  <c:v>0.14129391673157296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25-4D93-AB69-0F6C0BA51B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6054400"/>
        <c:axId val="1496055360"/>
      </c:barChart>
      <c:catAx>
        <c:axId val="14960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6055360"/>
        <c:crosses val="autoZero"/>
        <c:auto val="1"/>
        <c:lblAlgn val="ctr"/>
        <c:lblOffset val="100"/>
        <c:noMultiLvlLbl val="0"/>
      </c:catAx>
      <c:valAx>
        <c:axId val="14960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605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 x3'!$A$2</c:f>
              <c:strCache>
                <c:ptCount val="1"/>
                <c:pt idx="0">
                  <c:v>Feminicídio (FBSP)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 x3'!$B$1:$J$1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'Gr x3'!$B$2:$J$2</c:f>
              <c:numCache>
                <c:formatCode>#,##0</c:formatCode>
                <c:ptCount val="9"/>
                <c:pt idx="0" formatCode="General">
                  <c:v>449</c:v>
                </c:pt>
                <c:pt idx="1">
                  <c:v>929</c:v>
                </c:pt>
                <c:pt idx="2">
                  <c:v>1075</c:v>
                </c:pt>
                <c:pt idx="3">
                  <c:v>1229</c:v>
                </c:pt>
                <c:pt idx="4">
                  <c:v>1330</c:v>
                </c:pt>
                <c:pt idx="5">
                  <c:v>1354</c:v>
                </c:pt>
                <c:pt idx="6">
                  <c:v>1347</c:v>
                </c:pt>
                <c:pt idx="7">
                  <c:v>1455</c:v>
                </c:pt>
                <c:pt idx="8">
                  <c:v>1467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F-4CAE-9DFD-347DD8A927C4}"/>
            </c:ext>
          </c:extLst>
        </c:ser>
        <c:ser>
          <c:idx val="1"/>
          <c:order val="1"/>
          <c:tx>
            <c:strRef>
              <c:f>'Gr x3'!$A$3</c:f>
              <c:strCache>
                <c:ptCount val="1"/>
                <c:pt idx="0">
                  <c:v>Homicídios nas residências (SIM)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 x3'!$B$1:$J$1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'Gr x3'!$B$3:$J$3</c:f>
              <c:numCache>
                <c:formatCode>#,##0</c:formatCode>
                <c:ptCount val="9"/>
                <c:pt idx="0">
                  <c:v>1295.12331838565</c:v>
                </c:pt>
                <c:pt idx="1">
                  <c:v>1336.0898876404492</c:v>
                </c:pt>
                <c:pt idx="2">
                  <c:v>1444.9401709401709</c:v>
                </c:pt>
                <c:pt idx="3">
                  <c:v>1371.649411764706</c:v>
                </c:pt>
                <c:pt idx="4">
                  <c:v>1242.0974212034382</c:v>
                </c:pt>
                <c:pt idx="5">
                  <c:v>1259.7219101123594</c:v>
                </c:pt>
                <c:pt idx="6">
                  <c:v>1249.7746478873239</c:v>
                </c:pt>
                <c:pt idx="7">
                  <c:v>1312.4137931034484</c:v>
                </c:pt>
                <c:pt idx="8">
                  <c:v>1367.1525423728813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F-4CAE-9DFD-347DD8A92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803951"/>
        <c:axId val="1596185007"/>
      </c:lineChart>
      <c:catAx>
        <c:axId val="152980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96185007"/>
        <c:crosses val="autoZero"/>
        <c:auto val="1"/>
        <c:lblAlgn val="ctr"/>
        <c:lblOffset val="100"/>
        <c:noMultiLvlLbl val="0"/>
      </c:catAx>
      <c:valAx>
        <c:axId val="159618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29803951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 x4 a Gr x5'!$G$2</c:f>
              <c:strCache>
                <c:ptCount val="1"/>
                <c:pt idx="0">
                  <c:v>Homicídios de mulheres negras 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 x4 a Gr x5'!$A$3:$A$30</c:f>
              <c:strCache>
                <c:ptCount val="28"/>
                <c:pt idx="0">
                  <c:v>Brasil</c:v>
                </c:pt>
                <c:pt idx="1">
                  <c:v>Acre</c:v>
                </c:pt>
                <c:pt idx="2">
                  <c:v>Alagoas</c:v>
                </c:pt>
                <c:pt idx="3">
                  <c:v>Amapá</c:v>
                </c:pt>
                <c:pt idx="4">
                  <c:v>Amazonas</c:v>
                </c:pt>
                <c:pt idx="5">
                  <c:v>Bahia</c:v>
                </c:pt>
                <c:pt idx="6">
                  <c:v>Ceará</c:v>
                </c:pt>
                <c:pt idx="7">
                  <c:v>Distrito Federal</c:v>
                </c:pt>
                <c:pt idx="8">
                  <c:v>Espírito Santo</c:v>
                </c:pt>
                <c:pt idx="9">
                  <c:v>Goiás</c:v>
                </c:pt>
                <c:pt idx="10">
                  <c:v>Maranhão</c:v>
                </c:pt>
                <c:pt idx="11">
                  <c:v>Mato Grosso</c:v>
                </c:pt>
                <c:pt idx="12">
                  <c:v>Mato Grosso do Sul</c:v>
                </c:pt>
                <c:pt idx="13">
                  <c:v>Minas Gerais</c:v>
                </c:pt>
                <c:pt idx="14">
                  <c:v>Pará</c:v>
                </c:pt>
                <c:pt idx="15">
                  <c:v>Paraíba</c:v>
                </c:pt>
                <c:pt idx="16">
                  <c:v>Paraná</c:v>
                </c:pt>
                <c:pt idx="17">
                  <c:v>Pernambuco</c:v>
                </c:pt>
                <c:pt idx="18">
                  <c:v>Piauí</c:v>
                </c:pt>
                <c:pt idx="19">
                  <c:v>Rio de Janeiro</c:v>
                </c:pt>
                <c:pt idx="20">
                  <c:v>Rio Grande do Norte</c:v>
                </c:pt>
                <c:pt idx="21">
                  <c:v>Rio Grande do Sul</c:v>
                </c:pt>
                <c:pt idx="22">
                  <c:v>Rondônia</c:v>
                </c:pt>
                <c:pt idx="23">
                  <c:v>Roraima</c:v>
                </c:pt>
                <c:pt idx="24">
                  <c:v>Santa Catarina</c:v>
                </c:pt>
                <c:pt idx="25">
                  <c:v>São Paulo</c:v>
                </c:pt>
                <c:pt idx="26">
                  <c:v>Sergipe</c:v>
                </c:pt>
                <c:pt idx="27">
                  <c:v>Tocantins</c:v>
                </c:pt>
              </c:strCache>
            </c:strRef>
          </c:cat>
          <c:val>
            <c:numRef>
              <c:f>'Gr x4 a Gr x5'!$G$3:$G$30</c:f>
              <c:numCache>
                <c:formatCode>#,##0.0</c:formatCode>
                <c:ptCount val="28"/>
                <c:pt idx="0">
                  <c:v>68.892339544513462</c:v>
                </c:pt>
                <c:pt idx="1">
                  <c:v>83.333333333333343</c:v>
                </c:pt>
                <c:pt idx="2">
                  <c:v>98.611111111111114</c:v>
                </c:pt>
                <c:pt idx="3">
                  <c:v>100</c:v>
                </c:pt>
                <c:pt idx="4">
                  <c:v>87.704918032786878</c:v>
                </c:pt>
                <c:pt idx="5">
                  <c:v>89.737991266375545</c:v>
                </c:pt>
                <c:pt idx="6">
                  <c:v>87.903225806451616</c:v>
                </c:pt>
                <c:pt idx="7">
                  <c:v>72.093023255813947</c:v>
                </c:pt>
                <c:pt idx="8">
                  <c:v>78.125</c:v>
                </c:pt>
                <c:pt idx="9">
                  <c:v>72.727272727272734</c:v>
                </c:pt>
                <c:pt idx="10">
                  <c:v>82.222222222222214</c:v>
                </c:pt>
                <c:pt idx="11">
                  <c:v>72.815533980582529</c:v>
                </c:pt>
                <c:pt idx="12">
                  <c:v>56.25</c:v>
                </c:pt>
                <c:pt idx="13">
                  <c:v>72.661870503597129</c:v>
                </c:pt>
                <c:pt idx="14">
                  <c:v>90.476190476190482</c:v>
                </c:pt>
                <c:pt idx="15">
                  <c:v>72.368421052631575</c:v>
                </c:pt>
                <c:pt idx="16">
                  <c:v>33.480176211453745</c:v>
                </c:pt>
                <c:pt idx="17">
                  <c:v>83.333333333333343</c:v>
                </c:pt>
                <c:pt idx="18">
                  <c:v>93.84615384615384</c:v>
                </c:pt>
                <c:pt idx="19">
                  <c:v>61.746987951807228</c:v>
                </c:pt>
                <c:pt idx="20">
                  <c:v>85.714285714285708</c:v>
                </c:pt>
                <c:pt idx="21">
                  <c:v>22.421524663677133</c:v>
                </c:pt>
                <c:pt idx="22">
                  <c:v>74.074074074074076</c:v>
                </c:pt>
                <c:pt idx="23">
                  <c:v>50</c:v>
                </c:pt>
                <c:pt idx="24">
                  <c:v>18.269230769230766</c:v>
                </c:pt>
                <c:pt idx="25">
                  <c:v>44.041450777202073</c:v>
                </c:pt>
                <c:pt idx="26">
                  <c:v>90.243902439024396</c:v>
                </c:pt>
                <c:pt idx="27">
                  <c:v>79.310344827586206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E-4B57-AF25-23E2B76F6172}"/>
            </c:ext>
          </c:extLst>
        </c:ser>
        <c:ser>
          <c:idx val="1"/>
          <c:order val="1"/>
          <c:tx>
            <c:strRef>
              <c:f>'Gr x4 a Gr x5'!$H$2</c:f>
              <c:strCache>
                <c:ptCount val="1"/>
                <c:pt idx="0">
                  <c:v>População de mulheres negras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 x4 a Gr x5'!$A$3:$A$30</c:f>
              <c:strCache>
                <c:ptCount val="28"/>
                <c:pt idx="0">
                  <c:v>Brasil</c:v>
                </c:pt>
                <c:pt idx="1">
                  <c:v>Acre</c:v>
                </c:pt>
                <c:pt idx="2">
                  <c:v>Alagoas</c:v>
                </c:pt>
                <c:pt idx="3">
                  <c:v>Amapá</c:v>
                </c:pt>
                <c:pt idx="4">
                  <c:v>Amazonas</c:v>
                </c:pt>
                <c:pt idx="5">
                  <c:v>Bahia</c:v>
                </c:pt>
                <c:pt idx="6">
                  <c:v>Ceará</c:v>
                </c:pt>
                <c:pt idx="7">
                  <c:v>Distrito Federal</c:v>
                </c:pt>
                <c:pt idx="8">
                  <c:v>Espírito Santo</c:v>
                </c:pt>
                <c:pt idx="9">
                  <c:v>Goiás</c:v>
                </c:pt>
                <c:pt idx="10">
                  <c:v>Maranhão</c:v>
                </c:pt>
                <c:pt idx="11">
                  <c:v>Mato Grosso</c:v>
                </c:pt>
                <c:pt idx="12">
                  <c:v>Mato Grosso do Sul</c:v>
                </c:pt>
                <c:pt idx="13">
                  <c:v>Minas Gerais</c:v>
                </c:pt>
                <c:pt idx="14">
                  <c:v>Pará</c:v>
                </c:pt>
                <c:pt idx="15">
                  <c:v>Paraíba</c:v>
                </c:pt>
                <c:pt idx="16">
                  <c:v>Paraná</c:v>
                </c:pt>
                <c:pt idx="17">
                  <c:v>Pernambuco</c:v>
                </c:pt>
                <c:pt idx="18">
                  <c:v>Piauí</c:v>
                </c:pt>
                <c:pt idx="19">
                  <c:v>Rio de Janeiro</c:v>
                </c:pt>
                <c:pt idx="20">
                  <c:v>Rio Grande do Norte</c:v>
                </c:pt>
                <c:pt idx="21">
                  <c:v>Rio Grande do Sul</c:v>
                </c:pt>
                <c:pt idx="22">
                  <c:v>Rondônia</c:v>
                </c:pt>
                <c:pt idx="23">
                  <c:v>Roraima</c:v>
                </c:pt>
                <c:pt idx="24">
                  <c:v>Santa Catarina</c:v>
                </c:pt>
                <c:pt idx="25">
                  <c:v>São Paulo</c:v>
                </c:pt>
                <c:pt idx="26">
                  <c:v>Sergipe</c:v>
                </c:pt>
                <c:pt idx="27">
                  <c:v>Tocantins</c:v>
                </c:pt>
              </c:strCache>
            </c:strRef>
          </c:cat>
          <c:val>
            <c:numRef>
              <c:f>'Gr x4 a Gr x5'!$H$3:$H$30</c:f>
              <c:numCache>
                <c:formatCode>#,##0.0</c:formatCode>
                <c:ptCount val="28"/>
                <c:pt idx="0">
                  <c:v>55.732434263739869</c:v>
                </c:pt>
                <c:pt idx="1">
                  <c:v>79.560987427072021</c:v>
                </c:pt>
                <c:pt idx="2">
                  <c:v>70.676886091930214</c:v>
                </c:pt>
                <c:pt idx="3">
                  <c:v>79.632602120686641</c:v>
                </c:pt>
                <c:pt idx="4">
                  <c:v>77.589173751272924</c:v>
                </c:pt>
                <c:pt idx="5">
                  <c:v>79.273100012861832</c:v>
                </c:pt>
                <c:pt idx="6">
                  <c:v>72.59266903808556</c:v>
                </c:pt>
                <c:pt idx="7">
                  <c:v>59.172517053435044</c:v>
                </c:pt>
                <c:pt idx="8">
                  <c:v>61.794309536915307</c:v>
                </c:pt>
                <c:pt idx="9">
                  <c:v>62.443465264256957</c:v>
                </c:pt>
                <c:pt idx="10">
                  <c:v>80.621081436919567</c:v>
                </c:pt>
                <c:pt idx="11">
                  <c:v>64.866410300746125</c:v>
                </c:pt>
                <c:pt idx="12">
                  <c:v>56.671121747146145</c:v>
                </c:pt>
                <c:pt idx="13">
                  <c:v>58.471633393398761</c:v>
                </c:pt>
                <c:pt idx="14">
                  <c:v>79.707809613195906</c:v>
                </c:pt>
                <c:pt idx="15">
                  <c:v>64.892943458991198</c:v>
                </c:pt>
                <c:pt idx="16">
                  <c:v>35.289572280419122</c:v>
                </c:pt>
                <c:pt idx="17">
                  <c:v>66.199709623467939</c:v>
                </c:pt>
                <c:pt idx="18">
                  <c:v>78.601669243372015</c:v>
                </c:pt>
                <c:pt idx="19">
                  <c:v>53.21353576110107</c:v>
                </c:pt>
                <c:pt idx="20">
                  <c:v>59.791696033879241</c:v>
                </c:pt>
                <c:pt idx="21">
                  <c:v>23.015183609715024</c:v>
                </c:pt>
                <c:pt idx="22">
                  <c:v>69.303335697192963</c:v>
                </c:pt>
                <c:pt idx="23">
                  <c:v>72.872989573114324</c:v>
                </c:pt>
                <c:pt idx="24">
                  <c:v>21.238927529332958</c:v>
                </c:pt>
                <c:pt idx="25">
                  <c:v>40.823703377791063</c:v>
                </c:pt>
                <c:pt idx="26">
                  <c:v>75.951152646354672</c:v>
                </c:pt>
                <c:pt idx="27">
                  <c:v>75.925913116366516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E-4B57-AF25-23E2B76F6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556911"/>
        <c:axId val="239562191"/>
      </c:barChart>
      <c:catAx>
        <c:axId val="23955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39562191"/>
        <c:crosses val="autoZero"/>
        <c:auto val="1"/>
        <c:lblAlgn val="ctr"/>
        <c:lblOffset val="100"/>
        <c:noMultiLvlLbl val="0"/>
      </c:catAx>
      <c:valAx>
        <c:axId val="23956219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3955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 x4 a Gr x5'!$L$2</c:f>
              <c:strCache>
                <c:ptCount val="1"/>
                <c:pt idx="0">
                  <c:v>Homicídios de mulheres não negras 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 x4 a Gr x5'!$A$3:$A$30</c:f>
              <c:strCache>
                <c:ptCount val="28"/>
                <c:pt idx="0">
                  <c:v>Brasil</c:v>
                </c:pt>
                <c:pt idx="1">
                  <c:v>Acre</c:v>
                </c:pt>
                <c:pt idx="2">
                  <c:v>Alagoas</c:v>
                </c:pt>
                <c:pt idx="3">
                  <c:v>Amapá</c:v>
                </c:pt>
                <c:pt idx="4">
                  <c:v>Amazonas</c:v>
                </c:pt>
                <c:pt idx="5">
                  <c:v>Bahia</c:v>
                </c:pt>
                <c:pt idx="6">
                  <c:v>Ceará</c:v>
                </c:pt>
                <c:pt idx="7">
                  <c:v>Distrito Federal</c:v>
                </c:pt>
                <c:pt idx="8">
                  <c:v>Espírito Santo</c:v>
                </c:pt>
                <c:pt idx="9">
                  <c:v>Goiás</c:v>
                </c:pt>
                <c:pt idx="10">
                  <c:v>Maranhão</c:v>
                </c:pt>
                <c:pt idx="11">
                  <c:v>Mato Grosso</c:v>
                </c:pt>
                <c:pt idx="12">
                  <c:v>Mato Grosso do Sul</c:v>
                </c:pt>
                <c:pt idx="13">
                  <c:v>Minas Gerais</c:v>
                </c:pt>
                <c:pt idx="14">
                  <c:v>Pará</c:v>
                </c:pt>
                <c:pt idx="15">
                  <c:v>Paraíba</c:v>
                </c:pt>
                <c:pt idx="16">
                  <c:v>Paraná</c:v>
                </c:pt>
                <c:pt idx="17">
                  <c:v>Pernambuco</c:v>
                </c:pt>
                <c:pt idx="18">
                  <c:v>Piauí</c:v>
                </c:pt>
                <c:pt idx="19">
                  <c:v>Rio de Janeiro</c:v>
                </c:pt>
                <c:pt idx="20">
                  <c:v>Rio Grande do Norte</c:v>
                </c:pt>
                <c:pt idx="21">
                  <c:v>Rio Grande do Sul</c:v>
                </c:pt>
                <c:pt idx="22">
                  <c:v>Rondônia</c:v>
                </c:pt>
                <c:pt idx="23">
                  <c:v>Roraima</c:v>
                </c:pt>
                <c:pt idx="24">
                  <c:v>Santa Catarina</c:v>
                </c:pt>
                <c:pt idx="25">
                  <c:v>São Paulo</c:v>
                </c:pt>
                <c:pt idx="26">
                  <c:v>Sergipe</c:v>
                </c:pt>
                <c:pt idx="27">
                  <c:v>Tocantins</c:v>
                </c:pt>
              </c:strCache>
            </c:strRef>
          </c:cat>
          <c:val>
            <c:numRef>
              <c:f>'Gr x4 a Gr x5'!$L$3:$L$30</c:f>
              <c:numCache>
                <c:formatCode>#,##0.0</c:formatCode>
                <c:ptCount val="28"/>
                <c:pt idx="0">
                  <c:v>31.107660455486542</c:v>
                </c:pt>
                <c:pt idx="1">
                  <c:v>16.666666666666664</c:v>
                </c:pt>
                <c:pt idx="2">
                  <c:v>1.3888888888888888</c:v>
                </c:pt>
                <c:pt idx="3">
                  <c:v>0</c:v>
                </c:pt>
                <c:pt idx="4">
                  <c:v>12.295081967213115</c:v>
                </c:pt>
                <c:pt idx="5">
                  <c:v>10.262008733624455</c:v>
                </c:pt>
                <c:pt idx="6">
                  <c:v>12.096774193548388</c:v>
                </c:pt>
                <c:pt idx="7">
                  <c:v>27.906976744186046</c:v>
                </c:pt>
                <c:pt idx="8">
                  <c:v>21.875</c:v>
                </c:pt>
                <c:pt idx="9">
                  <c:v>27.27272727272727</c:v>
                </c:pt>
                <c:pt idx="10">
                  <c:v>17.777777777777779</c:v>
                </c:pt>
                <c:pt idx="11">
                  <c:v>27.184466019417474</c:v>
                </c:pt>
                <c:pt idx="12">
                  <c:v>43.75</c:v>
                </c:pt>
                <c:pt idx="13">
                  <c:v>27.338129496402878</c:v>
                </c:pt>
                <c:pt idx="14">
                  <c:v>9.5238095238095237</c:v>
                </c:pt>
                <c:pt idx="15">
                  <c:v>27.631578947368425</c:v>
                </c:pt>
                <c:pt idx="16">
                  <c:v>66.519823788546248</c:v>
                </c:pt>
                <c:pt idx="17">
                  <c:v>16.666666666666664</c:v>
                </c:pt>
                <c:pt idx="18">
                  <c:v>6.1538461538461542</c:v>
                </c:pt>
                <c:pt idx="19">
                  <c:v>38.253012048192772</c:v>
                </c:pt>
                <c:pt idx="20">
                  <c:v>14.285714285714285</c:v>
                </c:pt>
                <c:pt idx="21">
                  <c:v>77.578475336322867</c:v>
                </c:pt>
                <c:pt idx="22">
                  <c:v>25.925925925925924</c:v>
                </c:pt>
                <c:pt idx="23">
                  <c:v>50</c:v>
                </c:pt>
                <c:pt idx="24">
                  <c:v>81.730769230769226</c:v>
                </c:pt>
                <c:pt idx="25">
                  <c:v>55.958549222797927</c:v>
                </c:pt>
                <c:pt idx="26">
                  <c:v>9.7560975609756095</c:v>
                </c:pt>
                <c:pt idx="27">
                  <c:v>20.689655172413794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A-43EF-AA77-F585821949FD}"/>
            </c:ext>
          </c:extLst>
        </c:ser>
        <c:ser>
          <c:idx val="1"/>
          <c:order val="1"/>
          <c:tx>
            <c:strRef>
              <c:f>'Gr x4 a Gr x5'!$M$2</c:f>
              <c:strCache>
                <c:ptCount val="1"/>
                <c:pt idx="0">
                  <c:v>População de mulheres não negras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 x4 a Gr x5'!$A$3:$A$30</c:f>
              <c:strCache>
                <c:ptCount val="28"/>
                <c:pt idx="0">
                  <c:v>Brasil</c:v>
                </c:pt>
                <c:pt idx="1">
                  <c:v>Acre</c:v>
                </c:pt>
                <c:pt idx="2">
                  <c:v>Alagoas</c:v>
                </c:pt>
                <c:pt idx="3">
                  <c:v>Amapá</c:v>
                </c:pt>
                <c:pt idx="4">
                  <c:v>Amazonas</c:v>
                </c:pt>
                <c:pt idx="5">
                  <c:v>Bahia</c:v>
                </c:pt>
                <c:pt idx="6">
                  <c:v>Ceará</c:v>
                </c:pt>
                <c:pt idx="7">
                  <c:v>Distrito Federal</c:v>
                </c:pt>
                <c:pt idx="8">
                  <c:v>Espírito Santo</c:v>
                </c:pt>
                <c:pt idx="9">
                  <c:v>Goiás</c:v>
                </c:pt>
                <c:pt idx="10">
                  <c:v>Maranhão</c:v>
                </c:pt>
                <c:pt idx="11">
                  <c:v>Mato Grosso</c:v>
                </c:pt>
                <c:pt idx="12">
                  <c:v>Mato Grosso do Sul</c:v>
                </c:pt>
                <c:pt idx="13">
                  <c:v>Minas Gerais</c:v>
                </c:pt>
                <c:pt idx="14">
                  <c:v>Pará</c:v>
                </c:pt>
                <c:pt idx="15">
                  <c:v>Paraíba</c:v>
                </c:pt>
                <c:pt idx="16">
                  <c:v>Paraná</c:v>
                </c:pt>
                <c:pt idx="17">
                  <c:v>Pernambuco</c:v>
                </c:pt>
                <c:pt idx="18">
                  <c:v>Piauí</c:v>
                </c:pt>
                <c:pt idx="19">
                  <c:v>Rio de Janeiro</c:v>
                </c:pt>
                <c:pt idx="20">
                  <c:v>Rio Grande do Norte</c:v>
                </c:pt>
                <c:pt idx="21">
                  <c:v>Rio Grande do Sul</c:v>
                </c:pt>
                <c:pt idx="22">
                  <c:v>Rondônia</c:v>
                </c:pt>
                <c:pt idx="23">
                  <c:v>Roraima</c:v>
                </c:pt>
                <c:pt idx="24">
                  <c:v>Santa Catarina</c:v>
                </c:pt>
                <c:pt idx="25">
                  <c:v>São Paulo</c:v>
                </c:pt>
                <c:pt idx="26">
                  <c:v>Sergipe</c:v>
                </c:pt>
                <c:pt idx="27">
                  <c:v>Tocantins</c:v>
                </c:pt>
              </c:strCache>
            </c:strRef>
          </c:cat>
          <c:val>
            <c:numRef>
              <c:f>'Gr x4 a Gr x5'!$M$3:$M$30</c:f>
              <c:numCache>
                <c:formatCode>#,##0.0</c:formatCode>
                <c:ptCount val="28"/>
                <c:pt idx="0">
                  <c:v>44.267565736260117</c:v>
                </c:pt>
                <c:pt idx="1">
                  <c:v>20.439012572927986</c:v>
                </c:pt>
                <c:pt idx="2">
                  <c:v>29.323113908069786</c:v>
                </c:pt>
                <c:pt idx="3">
                  <c:v>20.367397879313359</c:v>
                </c:pt>
                <c:pt idx="4">
                  <c:v>22.410826248727084</c:v>
                </c:pt>
                <c:pt idx="5">
                  <c:v>20.726899987138168</c:v>
                </c:pt>
                <c:pt idx="6">
                  <c:v>27.40733096191445</c:v>
                </c:pt>
                <c:pt idx="7">
                  <c:v>40.827482946564942</c:v>
                </c:pt>
                <c:pt idx="8">
                  <c:v>38.205690463084686</c:v>
                </c:pt>
                <c:pt idx="9">
                  <c:v>37.556534735743043</c:v>
                </c:pt>
                <c:pt idx="10">
                  <c:v>19.378918563080436</c:v>
                </c:pt>
                <c:pt idx="11">
                  <c:v>35.133589699253875</c:v>
                </c:pt>
                <c:pt idx="12">
                  <c:v>43.328878252853862</c:v>
                </c:pt>
                <c:pt idx="13">
                  <c:v>41.528366606601232</c:v>
                </c:pt>
                <c:pt idx="14">
                  <c:v>20.292190386804091</c:v>
                </c:pt>
                <c:pt idx="15">
                  <c:v>35.107056541008795</c:v>
                </c:pt>
                <c:pt idx="16">
                  <c:v>64.710427719580878</c:v>
                </c:pt>
                <c:pt idx="17">
                  <c:v>33.800290376532061</c:v>
                </c:pt>
                <c:pt idx="18">
                  <c:v>21.398330756627988</c:v>
                </c:pt>
                <c:pt idx="19">
                  <c:v>46.786464238898937</c:v>
                </c:pt>
                <c:pt idx="20">
                  <c:v>40.208303966120759</c:v>
                </c:pt>
                <c:pt idx="21">
                  <c:v>76.984816390284976</c:v>
                </c:pt>
                <c:pt idx="22">
                  <c:v>30.696664302807026</c:v>
                </c:pt>
                <c:pt idx="23">
                  <c:v>27.127010426885679</c:v>
                </c:pt>
                <c:pt idx="24">
                  <c:v>78.761072470667045</c:v>
                </c:pt>
                <c:pt idx="25">
                  <c:v>59.176296622208937</c:v>
                </c:pt>
                <c:pt idx="26">
                  <c:v>24.048847353645339</c:v>
                </c:pt>
                <c:pt idx="27">
                  <c:v>24.074086883633477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A-43EF-AA77-F58582194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556911"/>
        <c:axId val="239562191"/>
      </c:barChart>
      <c:catAx>
        <c:axId val="23955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39562191"/>
        <c:crosses val="autoZero"/>
        <c:auto val="1"/>
        <c:lblAlgn val="ctr"/>
        <c:lblOffset val="100"/>
        <c:noMultiLvlLbl val="0"/>
      </c:catAx>
      <c:valAx>
        <c:axId val="23956219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3955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8F-4EBE-9B3C-C971BACB63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F-4EBE-9B3C-C971BACB63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8F-4EBE-9B3C-C971BACB63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8F-4EBE-9B3C-C971BACB63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8F-4EBE-9B3C-C971BACB63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8F-4EBE-9B3C-C971BACB63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 x6'!$A$3:$A$8</c:f>
              <c:strCache>
                <c:ptCount val="6"/>
                <c:pt idx="0">
                  <c:v>Violência física</c:v>
                </c:pt>
                <c:pt idx="1">
                  <c:v>Multipla</c:v>
                </c:pt>
                <c:pt idx="2">
                  <c:v>Negligência</c:v>
                </c:pt>
                <c:pt idx="3">
                  <c:v>Violência psicológica</c:v>
                </c:pt>
                <c:pt idx="4">
                  <c:v>Violência sexual</c:v>
                </c:pt>
                <c:pt idx="5">
                  <c:v>Outro</c:v>
                </c:pt>
              </c:strCache>
            </c:strRef>
          </c:cat>
          <c:val>
            <c:numRef>
              <c:f>'Gr x6'!$C$3:$C$8</c:f>
              <c:numCache>
                <c:formatCode>0.0</c:formatCode>
                <c:ptCount val="6"/>
                <c:pt idx="0">
                  <c:v>37.384715206006398</c:v>
                </c:pt>
                <c:pt idx="1">
                  <c:v>30.313528294016777</c:v>
                </c:pt>
                <c:pt idx="2">
                  <c:v>12.018584603976457</c:v>
                </c:pt>
                <c:pt idx="3">
                  <c:v>10.138689345136024</c:v>
                </c:pt>
                <c:pt idx="4">
                  <c:v>9.5356166288177224</c:v>
                </c:pt>
                <c:pt idx="5">
                  <c:v>0.60886592204662371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C-42A4-9132-3574900CBC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16933</xdr:colOff>
      <xdr:row>1</xdr:row>
      <xdr:rowOff>42334</xdr:rowOff>
    </xdr:from>
    <xdr:to>
      <xdr:col>20</xdr:col>
      <xdr:colOff>592666</xdr:colOff>
      <xdr:row>19</xdr:row>
      <xdr:rowOff>33866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52D365-93AD-0793-8458-CEC8F0E9F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11</xdr:row>
      <xdr:rowOff>5442</xdr:rowOff>
    </xdr:from>
    <xdr:to>
      <xdr:col>10</xdr:col>
      <xdr:colOff>185056</xdr:colOff>
      <xdr:row>25</xdr:row>
      <xdr:rowOff>157842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57005F-29F8-4B5E-51CB-A75496E2F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2</xdr:row>
      <xdr:rowOff>53340</xdr:rowOff>
    </xdr:from>
    <xdr:to>
      <xdr:col>18</xdr:col>
      <xdr:colOff>266700</xdr:colOff>
      <xdr:row>15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A729F8-65CC-37AF-94CC-16D0EBFB7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596897</xdr:colOff>
      <xdr:row>3</xdr:row>
      <xdr:rowOff>8466</xdr:rowOff>
    </xdr:from>
    <xdr:to>
      <xdr:col>29</xdr:col>
      <xdr:colOff>563032</xdr:colOff>
      <xdr:row>28</xdr:row>
      <xdr:rowOff>160865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B2227B-B38D-99B5-5204-EEDBE3CE0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596900</xdr:colOff>
      <xdr:row>33</xdr:row>
      <xdr:rowOff>12700</xdr:rowOff>
    </xdr:from>
    <xdr:to>
      <xdr:col>29</xdr:col>
      <xdr:colOff>563035</xdr:colOff>
      <xdr:row>58</xdr:row>
      <xdr:rowOff>165099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911B5B-C0AB-400B-9B1B-690E71331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171450</xdr:rowOff>
    </xdr:from>
    <xdr:to>
      <xdr:col>11</xdr:col>
      <xdr:colOff>304800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7E00A5-81A6-FED8-E518-9ADF03123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sabella Silva Matosinhos" id="{D7B9FC8F-AC7C-46E4-8FFA-DFA24C83C6A7}" userId="S::imatosinhos@forumseguranca.org.br::034571de-3531-4124-9b80-70bc50c587df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7" dT="2025-04-07T18:31:27.09" personId="{D7B9FC8F-AC7C-46E4-8FFA-DFA24C83C6A7}" id="{3AE8BA40-535D-4F9B-A844-E792E35DA52D}">
    <text>Conferir aqui como colocar o "IBGE - PNADc, 2023" como fonte.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D9AA-D000-4E8E-AAB5-62D74440991B}">
  <dimension ref="A1:N21"/>
  <sheetViews>
    <sheetView zoomScale="90" zoomScaleNormal="90" workbookViewId="0">
      <selection activeCell="L6" sqref="A1:L6"/>
    </sheetView>
  </sheetViews>
  <sheetFormatPr defaultRowHeight="15"/>
  <sheetData>
    <row r="1" spans="1:14"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N1" t="s">
        <v>0</v>
      </c>
    </row>
    <row r="2" spans="1:14">
      <c r="A2" t="s">
        <v>1</v>
      </c>
      <c r="B2">
        <v>4.7</v>
      </c>
      <c r="C2">
        <v>4.7</v>
      </c>
      <c r="D2">
        <v>4.5</v>
      </c>
      <c r="E2">
        <v>4.4000000000000004</v>
      </c>
      <c r="F2">
        <v>4.7</v>
      </c>
      <c r="G2">
        <v>4.3</v>
      </c>
      <c r="H2">
        <v>3.5</v>
      </c>
      <c r="I2">
        <v>3.6</v>
      </c>
      <c r="J2">
        <v>3.5</v>
      </c>
      <c r="K2">
        <v>3.5</v>
      </c>
      <c r="L2">
        <v>3.5</v>
      </c>
    </row>
    <row r="3" spans="1:14">
      <c r="A3" t="s">
        <v>2</v>
      </c>
      <c r="B3">
        <v>2.8</v>
      </c>
      <c r="C3">
        <v>2.7</v>
      </c>
      <c r="D3">
        <v>2.5</v>
      </c>
      <c r="E3">
        <v>2.2000000000000002</v>
      </c>
      <c r="F3">
        <v>2.1</v>
      </c>
      <c r="G3">
        <v>1.9</v>
      </c>
      <c r="H3">
        <v>1.7</v>
      </c>
      <c r="I3">
        <v>1.7</v>
      </c>
      <c r="J3">
        <v>1.4</v>
      </c>
      <c r="K3">
        <v>1.5</v>
      </c>
      <c r="L3">
        <v>1.6</v>
      </c>
    </row>
    <row r="4" spans="1:14">
      <c r="A4" t="s">
        <v>3</v>
      </c>
      <c r="B4">
        <v>4.0999999999999996</v>
      </c>
      <c r="C4">
        <v>3.9</v>
      </c>
      <c r="D4">
        <v>3.9</v>
      </c>
      <c r="E4">
        <v>3.5</v>
      </c>
      <c r="F4">
        <v>3.7</v>
      </c>
      <c r="G4">
        <v>3.3</v>
      </c>
      <c r="H4">
        <v>2.8</v>
      </c>
      <c r="I4">
        <v>2.5</v>
      </c>
      <c r="J4">
        <v>2.2999999999999998</v>
      </c>
      <c r="K4">
        <v>2.5</v>
      </c>
      <c r="L4">
        <v>2.6</v>
      </c>
    </row>
    <row r="5" spans="1:14">
      <c r="A5" t="s">
        <v>4</v>
      </c>
      <c r="B5">
        <v>5.4</v>
      </c>
      <c r="C5">
        <v>4.0999999999999996</v>
      </c>
      <c r="D5">
        <v>3.9</v>
      </c>
      <c r="E5">
        <v>4.3</v>
      </c>
      <c r="F5">
        <v>3</v>
      </c>
      <c r="G5">
        <v>3.6</v>
      </c>
      <c r="H5">
        <v>3.5</v>
      </c>
      <c r="I5">
        <v>2.2000000000000002</v>
      </c>
      <c r="J5">
        <v>2.9</v>
      </c>
      <c r="K5">
        <v>2.2000000000000002</v>
      </c>
      <c r="L5">
        <v>2.7</v>
      </c>
    </row>
    <row r="6" spans="1:14">
      <c r="A6" t="s">
        <v>5</v>
      </c>
      <c r="B6">
        <v>3.1</v>
      </c>
      <c r="C6">
        <v>3.3</v>
      </c>
      <c r="D6">
        <v>2.8</v>
      </c>
      <c r="E6">
        <v>3.1</v>
      </c>
      <c r="F6">
        <v>3.1</v>
      </c>
      <c r="G6">
        <v>2.6</v>
      </c>
      <c r="H6">
        <v>3.2</v>
      </c>
      <c r="I6">
        <v>2.4</v>
      </c>
      <c r="J6">
        <v>2.5</v>
      </c>
      <c r="K6">
        <v>2.5</v>
      </c>
      <c r="L6">
        <v>2.8</v>
      </c>
    </row>
    <row r="21" spans="14:14">
      <c r="N21" t="s"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A4FD-DC31-447D-89AA-132711CD623C}">
  <dimension ref="A1:J36"/>
  <sheetViews>
    <sheetView zoomScale="70" zoomScaleNormal="70" workbookViewId="0">
      <selection activeCell="D18" sqref="D18"/>
    </sheetView>
  </sheetViews>
  <sheetFormatPr defaultRowHeight="15"/>
  <cols>
    <col min="1" max="1" width="17.7109375" bestFit="1" customWidth="1"/>
    <col min="2" max="2" width="11.7109375" bestFit="1" customWidth="1"/>
    <col min="3" max="3" width="19.42578125" bestFit="1" customWidth="1"/>
    <col min="4" max="4" width="30.140625" bestFit="1" customWidth="1"/>
    <col min="5" max="5" width="30.140625" customWidth="1"/>
    <col min="6" max="6" width="18.5703125" bestFit="1" customWidth="1"/>
    <col min="7" max="7" width="24.42578125" bestFit="1" customWidth="1"/>
    <col min="8" max="8" width="20.28515625" customWidth="1"/>
    <col min="9" max="9" width="9.7109375" bestFit="1" customWidth="1"/>
  </cols>
  <sheetData>
    <row r="1" spans="1:10">
      <c r="A1" t="s">
        <v>7</v>
      </c>
      <c r="B1" t="s">
        <v>8</v>
      </c>
      <c r="C1" t="s">
        <v>9</v>
      </c>
      <c r="D1" t="s">
        <v>10</v>
      </c>
      <c r="F1" t="s">
        <v>8</v>
      </c>
      <c r="G1" t="s">
        <v>11</v>
      </c>
      <c r="H1" t="s">
        <v>12</v>
      </c>
      <c r="I1" t="s">
        <v>13</v>
      </c>
    </row>
    <row r="2" spans="1:10">
      <c r="A2" t="s">
        <v>14</v>
      </c>
      <c r="B2" t="s">
        <v>15</v>
      </c>
      <c r="C2" s="4">
        <v>18</v>
      </c>
      <c r="D2" s="4">
        <v>468408.71726180002</v>
      </c>
      <c r="E2" s="4"/>
      <c r="F2" t="s">
        <v>16</v>
      </c>
      <c r="G2">
        <v>316</v>
      </c>
      <c r="H2" s="2">
        <f>G2/$G$7</f>
        <v>8.0963361516781962E-2</v>
      </c>
      <c r="I2" s="3">
        <f>D31/D36</f>
        <v>7.7748374452665706E-2</v>
      </c>
    </row>
    <row r="3" spans="1:10">
      <c r="A3" t="s">
        <v>17</v>
      </c>
      <c r="B3" t="s">
        <v>18</v>
      </c>
      <c r="C3" s="4">
        <v>75</v>
      </c>
      <c r="D3" s="4">
        <v>1772660.7874165101</v>
      </c>
      <c r="E3" s="4"/>
      <c r="F3" t="s">
        <v>19</v>
      </c>
      <c r="G3">
        <v>1464</v>
      </c>
      <c r="H3" s="2">
        <f t="shared" ref="H3:H6" si="0">G3/$G$7</f>
        <v>0.37509607993850885</v>
      </c>
      <c r="I3" s="3">
        <f>D32/D36</f>
        <v>0.27298664922266097</v>
      </c>
    </row>
    <row r="4" spans="1:10">
      <c r="A4" t="s">
        <v>20</v>
      </c>
      <c r="B4" t="s">
        <v>15</v>
      </c>
      <c r="C4" s="4">
        <v>15</v>
      </c>
      <c r="D4" s="4">
        <v>461831.63335757999</v>
      </c>
      <c r="E4" s="4"/>
      <c r="F4" t="s">
        <v>21</v>
      </c>
      <c r="G4">
        <v>462</v>
      </c>
      <c r="H4" s="2">
        <f t="shared" si="0"/>
        <v>0.11837048424289008</v>
      </c>
      <c r="I4" s="3">
        <f>D33/D36</f>
        <v>8.6192618412699651E-2</v>
      </c>
    </row>
    <row r="5" spans="1:10">
      <c r="A5" t="s">
        <v>22</v>
      </c>
      <c r="B5" t="s">
        <v>15</v>
      </c>
      <c r="C5" s="4">
        <v>122</v>
      </c>
      <c r="D5" s="4">
        <v>2080966.09467136</v>
      </c>
      <c r="E5" s="4"/>
      <c r="F5" t="s">
        <v>23</v>
      </c>
      <c r="G5">
        <v>1102</v>
      </c>
      <c r="H5" s="2">
        <f t="shared" si="0"/>
        <v>0.28234691263130923</v>
      </c>
      <c r="I5" s="3">
        <f>D34/D36</f>
        <v>0.42177844118040081</v>
      </c>
    </row>
    <row r="6" spans="1:10">
      <c r="A6" t="s">
        <v>24</v>
      </c>
      <c r="B6" t="s">
        <v>18</v>
      </c>
      <c r="C6" s="4">
        <v>463</v>
      </c>
      <c r="D6" s="4">
        <v>7819645.04018714</v>
      </c>
      <c r="E6" s="4"/>
      <c r="F6" t="s">
        <v>25</v>
      </c>
      <c r="G6">
        <v>559</v>
      </c>
      <c r="H6" s="2">
        <f t="shared" si="0"/>
        <v>0.14322316167050986</v>
      </c>
      <c r="I6" s="3">
        <f>D35/D36</f>
        <v>0.14129391673157296</v>
      </c>
    </row>
    <row r="7" spans="1:10">
      <c r="A7" t="s">
        <v>26</v>
      </c>
      <c r="B7" t="s">
        <v>18</v>
      </c>
      <c r="C7" s="4">
        <v>248</v>
      </c>
      <c r="D7" s="4">
        <v>4802060.64196066</v>
      </c>
      <c r="E7" s="4"/>
      <c r="F7" t="s">
        <v>27</v>
      </c>
      <c r="G7">
        <v>3903</v>
      </c>
      <c r="H7" s="1">
        <f t="shared" ref="H7" si="1">G7/$G$7*100</f>
        <v>100</v>
      </c>
      <c r="I7" s="3">
        <v>1</v>
      </c>
      <c r="J7" s="3"/>
    </row>
    <row r="8" spans="1:10">
      <c r="A8" t="s">
        <v>4</v>
      </c>
      <c r="B8" t="s">
        <v>28</v>
      </c>
      <c r="C8" s="4">
        <v>44</v>
      </c>
      <c r="D8" s="4">
        <v>1654340.1473370399</v>
      </c>
      <c r="E8" s="4"/>
    </row>
    <row r="9" spans="1:10">
      <c r="A9" t="s">
        <v>29</v>
      </c>
      <c r="B9" t="s">
        <v>30</v>
      </c>
      <c r="C9" s="4">
        <v>99</v>
      </c>
      <c r="D9" s="4">
        <v>2146936.4643794801</v>
      </c>
      <c r="E9" s="4"/>
    </row>
    <row r="10" spans="1:10">
      <c r="A10" t="s">
        <v>31</v>
      </c>
      <c r="B10" t="s">
        <v>28</v>
      </c>
      <c r="C10" s="4">
        <v>121</v>
      </c>
      <c r="D10" s="4">
        <v>3696250.3021684201</v>
      </c>
      <c r="E10" s="4"/>
    </row>
    <row r="11" spans="1:10">
      <c r="A11" t="s">
        <v>32</v>
      </c>
      <c r="B11" t="s">
        <v>18</v>
      </c>
      <c r="C11" s="4">
        <v>139</v>
      </c>
      <c r="D11" s="4">
        <v>3729277.57429509</v>
      </c>
      <c r="E11" s="4"/>
      <c r="F11" t="s">
        <v>33</v>
      </c>
    </row>
    <row r="12" spans="1:10">
      <c r="A12" t="s">
        <v>34</v>
      </c>
      <c r="B12" t="s">
        <v>28</v>
      </c>
      <c r="C12" s="4">
        <v>103</v>
      </c>
      <c r="D12" s="4">
        <v>1797266.77471439</v>
      </c>
      <c r="E12" s="4"/>
    </row>
    <row r="13" spans="1:10">
      <c r="A13" t="s">
        <v>35</v>
      </c>
      <c r="B13" t="s">
        <v>28</v>
      </c>
      <c r="C13" s="4">
        <v>48</v>
      </c>
      <c r="D13" s="4">
        <v>1424212.4416990301</v>
      </c>
      <c r="E13" s="4"/>
    </row>
    <row r="14" spans="1:10">
      <c r="A14" t="s">
        <v>3</v>
      </c>
      <c r="B14" t="s">
        <v>30</v>
      </c>
      <c r="C14" s="4">
        <v>280</v>
      </c>
      <c r="D14" s="4">
        <v>10884828.23758346</v>
      </c>
      <c r="E14" s="4"/>
    </row>
    <row r="15" spans="1:10">
      <c r="A15" t="s">
        <v>36</v>
      </c>
      <c r="B15" t="s">
        <v>15</v>
      </c>
      <c r="C15" s="4">
        <v>192</v>
      </c>
      <c r="D15" s="4">
        <v>4465628.65397848</v>
      </c>
      <c r="E15" s="4"/>
    </row>
    <row r="16" spans="1:10">
      <c r="A16" t="s">
        <v>37</v>
      </c>
      <c r="B16" t="s">
        <v>18</v>
      </c>
      <c r="C16" s="4">
        <v>79</v>
      </c>
      <c r="D16" s="4">
        <v>2124434.50738724</v>
      </c>
      <c r="E16" s="4"/>
    </row>
    <row r="17" spans="1:6">
      <c r="A17" t="s">
        <v>38</v>
      </c>
      <c r="B17" t="s">
        <v>39</v>
      </c>
      <c r="C17" s="4">
        <v>230</v>
      </c>
      <c r="D17" s="4">
        <v>5940909.22440359</v>
      </c>
      <c r="E17" s="4"/>
    </row>
    <row r="18" spans="1:6">
      <c r="A18" t="s">
        <v>40</v>
      </c>
      <c r="B18" t="s">
        <v>18</v>
      </c>
      <c r="C18" s="4">
        <v>290</v>
      </c>
      <c r="D18" s="4">
        <v>5056831.2420158498</v>
      </c>
      <c r="E18" s="4"/>
    </row>
    <row r="19" spans="1:6">
      <c r="A19" t="s">
        <v>41</v>
      </c>
      <c r="B19" t="s">
        <v>18</v>
      </c>
      <c r="C19" s="4">
        <v>66</v>
      </c>
      <c r="D19" s="4">
        <v>1699823.4597289599</v>
      </c>
      <c r="E19" s="4"/>
    </row>
    <row r="20" spans="1:6">
      <c r="A20" t="s">
        <v>42</v>
      </c>
      <c r="B20" t="s">
        <v>30</v>
      </c>
      <c r="C20" s="4">
        <v>334</v>
      </c>
      <c r="D20" s="4">
        <v>9252942.5015740506</v>
      </c>
      <c r="E20" s="4"/>
    </row>
    <row r="21" spans="1:6">
      <c r="A21" t="s">
        <v>43</v>
      </c>
      <c r="B21" t="s">
        <v>18</v>
      </c>
      <c r="C21" s="4">
        <v>63</v>
      </c>
      <c r="D21" s="4">
        <v>1863782.59605552</v>
      </c>
      <c r="E21" s="4"/>
    </row>
    <row r="22" spans="1:6">
      <c r="A22" t="s">
        <v>44</v>
      </c>
      <c r="B22" t="s">
        <v>39</v>
      </c>
      <c r="C22" s="4">
        <v>224</v>
      </c>
      <c r="D22" s="4">
        <v>5874598.5108977901</v>
      </c>
      <c r="E22" s="4"/>
    </row>
    <row r="23" spans="1:6">
      <c r="A23" t="s">
        <v>45</v>
      </c>
      <c r="B23" t="s">
        <v>15</v>
      </c>
      <c r="C23" s="4">
        <v>54</v>
      </c>
      <c r="D23" s="4">
        <v>916777.10036925995</v>
      </c>
      <c r="E23" s="4"/>
    </row>
    <row r="24" spans="1:6">
      <c r="A24" t="s">
        <v>46</v>
      </c>
      <c r="B24" t="s">
        <v>15</v>
      </c>
      <c r="C24" s="4">
        <v>31</v>
      </c>
      <c r="D24" s="4">
        <v>298612.21832195</v>
      </c>
      <c r="E24" s="4"/>
    </row>
    <row r="25" spans="1:6">
      <c r="A25" t="s">
        <v>5</v>
      </c>
      <c r="B25" t="s">
        <v>39</v>
      </c>
      <c r="C25" s="4">
        <v>105</v>
      </c>
      <c r="D25" s="4">
        <v>3762712.4669868201</v>
      </c>
      <c r="E25" s="4"/>
    </row>
    <row r="26" spans="1:6">
      <c r="A26" t="s">
        <v>2</v>
      </c>
      <c r="B26" t="s">
        <v>30</v>
      </c>
      <c r="C26" s="4">
        <v>389</v>
      </c>
      <c r="D26" s="4">
        <v>24218055.16073906</v>
      </c>
      <c r="E26" s="4"/>
    </row>
    <row r="27" spans="1:6">
      <c r="A27" t="s">
        <v>47</v>
      </c>
      <c r="B27" t="s">
        <v>18</v>
      </c>
      <c r="C27" s="4">
        <v>41</v>
      </c>
      <c r="D27" s="4">
        <v>1229355.54023939</v>
      </c>
      <c r="E27" s="4"/>
      <c r="F27" s="37" t="s">
        <v>48</v>
      </c>
    </row>
    <row r="28" spans="1:6">
      <c r="A28" t="s">
        <v>49</v>
      </c>
      <c r="B28" t="s">
        <v>15</v>
      </c>
      <c r="C28" s="4">
        <v>30</v>
      </c>
      <c r="D28" s="4">
        <v>810856.96377887996</v>
      </c>
      <c r="E28" s="4"/>
    </row>
    <row r="29" spans="1:6">
      <c r="D29" s="4">
        <f>SUM(D2:D28)</f>
        <v>110254005.00350882</v>
      </c>
    </row>
    <row r="31" spans="1:6">
      <c r="A31" t="s">
        <v>50</v>
      </c>
      <c r="D31" s="4">
        <v>8572069.6659188792</v>
      </c>
    </row>
    <row r="32" spans="1:6">
      <c r="A32" t="s">
        <v>19</v>
      </c>
      <c r="D32" s="4">
        <v>30097871.389286362</v>
      </c>
    </row>
    <row r="33" spans="1:4">
      <c r="A33" t="s">
        <v>21</v>
      </c>
      <c r="D33" s="4">
        <v>9503081.3817393109</v>
      </c>
    </row>
    <row r="34" spans="1:4">
      <c r="A34" t="s">
        <v>23</v>
      </c>
      <c r="D34" s="4">
        <v>46502762.364276052</v>
      </c>
    </row>
    <row r="35" spans="1:4">
      <c r="A35" t="s">
        <v>25</v>
      </c>
      <c r="D35" s="4">
        <v>15578220.202288199</v>
      </c>
    </row>
    <row r="36" spans="1:4">
      <c r="A36" t="s">
        <v>51</v>
      </c>
      <c r="D36" s="4">
        <f>SUM(D31:D35)</f>
        <v>110254005.00350879</v>
      </c>
    </row>
  </sheetData>
  <autoFilter ref="A1:C28" xr:uid="{97A1A4FD-DC31-447D-89AA-132711CD623C}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AE00-E8DA-4C2B-B844-55C7981127CA}">
  <dimension ref="A1:L17"/>
  <sheetViews>
    <sheetView zoomScale="70" zoomScaleNormal="70" workbookViewId="0">
      <selection activeCell="H22" sqref="H22"/>
    </sheetView>
  </sheetViews>
  <sheetFormatPr defaultRowHeight="15"/>
  <cols>
    <col min="1" max="1" width="28.42578125" customWidth="1"/>
    <col min="2" max="2" width="9.42578125" customWidth="1"/>
  </cols>
  <sheetData>
    <row r="1" spans="1:12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</row>
    <row r="2" spans="1:12">
      <c r="A2" t="s">
        <v>52</v>
      </c>
      <c r="B2">
        <v>449</v>
      </c>
      <c r="C2" s="4">
        <v>929</v>
      </c>
      <c r="D2" s="4">
        <v>1075</v>
      </c>
      <c r="E2" s="4">
        <v>1229</v>
      </c>
      <c r="F2" s="4">
        <v>1330</v>
      </c>
      <c r="G2" s="4">
        <v>1354</v>
      </c>
      <c r="H2" s="4">
        <v>1347</v>
      </c>
      <c r="I2" s="4">
        <v>1455</v>
      </c>
      <c r="J2" s="4">
        <v>1467</v>
      </c>
      <c r="L2" t="s">
        <v>53</v>
      </c>
    </row>
    <row r="3" spans="1:12">
      <c r="A3" t="s">
        <v>54</v>
      </c>
      <c r="B3" s="4">
        <f>B5*B4</f>
        <v>1295.12331838565</v>
      </c>
      <c r="C3" s="4">
        <f>C5*C4</f>
        <v>1336.0898876404492</v>
      </c>
      <c r="D3" s="4">
        <f t="shared" ref="D3:J3" si="0">D5*D4</f>
        <v>1444.9401709401709</v>
      </c>
      <c r="E3" s="4">
        <f t="shared" si="0"/>
        <v>1371.649411764706</v>
      </c>
      <c r="F3" s="4">
        <f t="shared" si="0"/>
        <v>1242.0974212034382</v>
      </c>
      <c r="G3" s="4">
        <f t="shared" si="0"/>
        <v>1259.7219101123594</v>
      </c>
      <c r="H3" s="4">
        <f t="shared" si="0"/>
        <v>1249.7746478873239</v>
      </c>
      <c r="I3" s="4">
        <f t="shared" si="0"/>
        <v>1312.4137931034484</v>
      </c>
      <c r="J3" s="4">
        <f t="shared" si="0"/>
        <v>1367.1525423728813</v>
      </c>
    </row>
    <row r="4" spans="1:12">
      <c r="B4" s="3">
        <v>0.2802690582959641</v>
      </c>
      <c r="C4" s="3">
        <v>0.28764044943820222</v>
      </c>
      <c r="D4" s="3">
        <v>0.29273504273504275</v>
      </c>
      <c r="E4" s="3">
        <v>0.30352941176470588</v>
      </c>
      <c r="F4" s="3">
        <v>0.33237822349570195</v>
      </c>
      <c r="G4" s="3">
        <v>0.3286516853932584</v>
      </c>
      <c r="H4" s="3">
        <v>0.323943661971831</v>
      </c>
      <c r="I4" s="3">
        <v>0.34482758620689657</v>
      </c>
      <c r="J4" s="3">
        <v>0.35028248587570621</v>
      </c>
    </row>
    <row r="5" spans="1:12">
      <c r="A5" t="s">
        <v>55</v>
      </c>
      <c r="B5">
        <v>4621</v>
      </c>
      <c r="C5">
        <v>4645</v>
      </c>
      <c r="D5">
        <v>4936</v>
      </c>
      <c r="E5">
        <v>4519</v>
      </c>
      <c r="F5">
        <v>3737</v>
      </c>
      <c r="G5">
        <v>3833</v>
      </c>
      <c r="H5">
        <v>3858</v>
      </c>
      <c r="I5">
        <v>3806</v>
      </c>
      <c r="J5">
        <v>3903</v>
      </c>
    </row>
    <row r="6" spans="1:12">
      <c r="A6" t="s">
        <v>56</v>
      </c>
      <c r="B6">
        <v>11</v>
      </c>
      <c r="C6">
        <v>12</v>
      </c>
      <c r="D6">
        <v>13</v>
      </c>
      <c r="E6">
        <v>14</v>
      </c>
      <c r="F6">
        <v>15</v>
      </c>
      <c r="G6">
        <v>16</v>
      </c>
      <c r="H6">
        <v>17</v>
      </c>
      <c r="I6">
        <v>18</v>
      </c>
      <c r="J6">
        <v>18</v>
      </c>
    </row>
    <row r="9" spans="1:12">
      <c r="E9" s="4"/>
      <c r="F9" s="4"/>
    </row>
    <row r="17" spans="12:12">
      <c r="L17" t="s">
        <v>57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B5BC-3420-469A-BAF2-B0AC60D15327}">
  <dimension ref="A1:P60"/>
  <sheetViews>
    <sheetView topLeftCell="B37" zoomScale="60" zoomScaleNormal="60" workbookViewId="0">
      <selection activeCell="D9" sqref="D9"/>
    </sheetView>
  </sheetViews>
  <sheetFormatPr defaultRowHeight="15"/>
  <cols>
    <col min="1" max="1" width="14.85546875" bestFit="1" customWidth="1"/>
    <col min="2" max="2" width="9.7109375" bestFit="1" customWidth="1"/>
    <col min="3" max="3" width="11.85546875" style="34" customWidth="1"/>
    <col min="4" max="4" width="16.85546875" style="34" customWidth="1"/>
    <col min="5" max="13" width="11.85546875" customWidth="1"/>
    <col min="14" max="14" width="11.85546875" style="34" customWidth="1"/>
  </cols>
  <sheetData>
    <row r="1" spans="1:16">
      <c r="A1" t="s">
        <v>58</v>
      </c>
    </row>
    <row r="2" spans="1:16" ht="60">
      <c r="A2" s="29" t="s">
        <v>7</v>
      </c>
      <c r="B2" s="29" t="s">
        <v>59</v>
      </c>
      <c r="C2" s="29" t="s">
        <v>60</v>
      </c>
      <c r="D2" s="29" t="s">
        <v>61</v>
      </c>
      <c r="E2" s="43" t="s">
        <v>62</v>
      </c>
      <c r="F2" s="29" t="s">
        <v>63</v>
      </c>
      <c r="G2" s="29" t="s">
        <v>64</v>
      </c>
      <c r="H2" s="29" t="s">
        <v>65</v>
      </c>
      <c r="I2" s="29" t="s">
        <v>66</v>
      </c>
      <c r="J2" s="29" t="s">
        <v>67</v>
      </c>
      <c r="K2" s="29" t="s">
        <v>68</v>
      </c>
      <c r="L2" s="29" t="s">
        <v>69</v>
      </c>
      <c r="M2" s="29" t="s">
        <v>70</v>
      </c>
      <c r="N2" s="29" t="s">
        <v>66</v>
      </c>
      <c r="O2" s="19"/>
      <c r="P2" s="19"/>
    </row>
    <row r="3" spans="1:16">
      <c r="A3" s="30" t="s">
        <v>1</v>
      </c>
      <c r="B3" s="30" t="s">
        <v>71</v>
      </c>
      <c r="C3" s="42">
        <f t="shared" ref="C3:C30" si="0">E3+J3</f>
        <v>3864</v>
      </c>
      <c r="D3" s="44">
        <v>110214298.41083568</v>
      </c>
      <c r="E3" s="31">
        <f>SUM(E4:E30)</f>
        <v>2662</v>
      </c>
      <c r="F3" s="31">
        <f>SUM(F4:F30)</f>
        <v>61425111.411061093</v>
      </c>
      <c r="G3" s="32">
        <f t="shared" ref="G3:G30" si="1">E3/C3*100</f>
        <v>68.892339544513462</v>
      </c>
      <c r="H3" s="32">
        <f t="shared" ref="H3:H30" si="2">F3/D3*100</f>
        <v>55.732434263739869</v>
      </c>
      <c r="I3" s="33">
        <f>G3-H3</f>
        <v>13.159905280773593</v>
      </c>
      <c r="J3" s="31">
        <f>SUM(J4:J30)</f>
        <v>1202</v>
      </c>
      <c r="K3" s="31">
        <f>SUM(K4:K30)</f>
        <v>48789186.999774575</v>
      </c>
      <c r="L3" s="32">
        <f t="shared" ref="L3:L30" si="3">J3/C3*100</f>
        <v>31.107660455486542</v>
      </c>
      <c r="M3" s="32">
        <f t="shared" ref="M3:M30" si="4">K3/D3*100</f>
        <v>44.267565736260117</v>
      </c>
      <c r="N3" s="23">
        <f>L3-M3</f>
        <v>-13.159905280773575</v>
      </c>
      <c r="O3" s="19"/>
      <c r="P3" s="28" t="s">
        <v>72</v>
      </c>
    </row>
    <row r="4" spans="1:16">
      <c r="A4" s="17" t="s">
        <v>14</v>
      </c>
      <c r="B4" s="17" t="s">
        <v>15</v>
      </c>
      <c r="C4" s="36">
        <f t="shared" si="0"/>
        <v>18</v>
      </c>
      <c r="D4" s="35">
        <v>468408.71726179996</v>
      </c>
      <c r="E4" s="18">
        <v>15</v>
      </c>
      <c r="F4" s="18">
        <v>372670.60064796999</v>
      </c>
      <c r="G4" s="24">
        <f t="shared" si="1"/>
        <v>83.333333333333343</v>
      </c>
      <c r="H4" s="45">
        <f t="shared" si="2"/>
        <v>79.560987427072021</v>
      </c>
      <c r="I4" s="22">
        <f>G4-H4</f>
        <v>3.7723459062613216</v>
      </c>
      <c r="J4" s="18">
        <v>3</v>
      </c>
      <c r="K4" s="18">
        <v>95738.116613830003</v>
      </c>
      <c r="L4" s="20">
        <f t="shared" si="3"/>
        <v>16.666666666666664</v>
      </c>
      <c r="M4" s="20">
        <f t="shared" si="4"/>
        <v>20.439012572927986</v>
      </c>
      <c r="N4" s="24">
        <f>L4-M4</f>
        <v>-3.7723459062613216</v>
      </c>
    </row>
    <row r="5" spans="1:16">
      <c r="A5" s="17" t="s">
        <v>17</v>
      </c>
      <c r="B5" s="17" t="s">
        <v>18</v>
      </c>
      <c r="C5" s="36">
        <f t="shared" si="0"/>
        <v>72</v>
      </c>
      <c r="D5" s="35">
        <v>1772660.7874165098</v>
      </c>
      <c r="E5" s="18">
        <v>71</v>
      </c>
      <c r="F5" s="18">
        <v>1252861.4455186799</v>
      </c>
      <c r="G5" s="24">
        <f t="shared" si="1"/>
        <v>98.611111111111114</v>
      </c>
      <c r="H5" s="45">
        <f t="shared" si="2"/>
        <v>70.676886091930214</v>
      </c>
      <c r="I5" s="22">
        <f t="shared" ref="I5:I30" si="5">G5-H5</f>
        <v>27.9342250191809</v>
      </c>
      <c r="J5" s="18">
        <v>1</v>
      </c>
      <c r="K5" s="18">
        <v>519799.34189783002</v>
      </c>
      <c r="L5" s="20">
        <f t="shared" si="3"/>
        <v>1.3888888888888888</v>
      </c>
      <c r="M5" s="20">
        <f t="shared" si="4"/>
        <v>29.323113908069786</v>
      </c>
      <c r="N5" s="24">
        <f t="shared" ref="N5:N30" si="6">L5-M5</f>
        <v>-27.934225019180897</v>
      </c>
    </row>
    <row r="6" spans="1:16">
      <c r="A6" s="17" t="s">
        <v>20</v>
      </c>
      <c r="B6" s="17" t="s">
        <v>15</v>
      </c>
      <c r="C6" s="36">
        <f t="shared" si="0"/>
        <v>15</v>
      </c>
      <c r="D6" s="35">
        <v>461831.63335758005</v>
      </c>
      <c r="E6" s="18">
        <v>15</v>
      </c>
      <c r="F6" s="18">
        <v>367768.54705911002</v>
      </c>
      <c r="G6" s="24">
        <f t="shared" si="1"/>
        <v>100</v>
      </c>
      <c r="H6" s="45">
        <f t="shared" si="2"/>
        <v>79.632602120686641</v>
      </c>
      <c r="I6" s="22">
        <f t="shared" si="5"/>
        <v>20.367397879313359</v>
      </c>
      <c r="J6" s="18">
        <v>0</v>
      </c>
      <c r="K6" s="18">
        <v>94063.086298470007</v>
      </c>
      <c r="L6" s="20">
        <f t="shared" si="3"/>
        <v>0</v>
      </c>
      <c r="M6" s="20">
        <f t="shared" si="4"/>
        <v>20.367397879313359</v>
      </c>
      <c r="N6" s="24">
        <f t="shared" si="6"/>
        <v>-20.367397879313359</v>
      </c>
    </row>
    <row r="7" spans="1:16">
      <c r="A7" s="17" t="s">
        <v>22</v>
      </c>
      <c r="B7" s="17" t="s">
        <v>15</v>
      </c>
      <c r="C7" s="36">
        <f t="shared" si="0"/>
        <v>122</v>
      </c>
      <c r="D7" s="35">
        <v>2080966.09467136</v>
      </c>
      <c r="E7" s="18">
        <v>107</v>
      </c>
      <c r="F7" s="18">
        <v>1614604.39889964</v>
      </c>
      <c r="G7" s="24">
        <f t="shared" si="1"/>
        <v>87.704918032786878</v>
      </c>
      <c r="H7" s="45">
        <f t="shared" si="2"/>
        <v>77.589173751272924</v>
      </c>
      <c r="I7" s="22">
        <f t="shared" si="5"/>
        <v>10.115744281513955</v>
      </c>
      <c r="J7" s="18">
        <v>15</v>
      </c>
      <c r="K7" s="18">
        <v>466361.69577172003</v>
      </c>
      <c r="L7" s="20">
        <f t="shared" si="3"/>
        <v>12.295081967213115</v>
      </c>
      <c r="M7" s="20">
        <f t="shared" si="4"/>
        <v>22.410826248727084</v>
      </c>
      <c r="N7" s="24">
        <f t="shared" si="6"/>
        <v>-10.115744281513969</v>
      </c>
    </row>
    <row r="8" spans="1:16">
      <c r="A8" s="17" t="s">
        <v>24</v>
      </c>
      <c r="B8" s="17" t="s">
        <v>18</v>
      </c>
      <c r="C8" s="36">
        <f t="shared" si="0"/>
        <v>458</v>
      </c>
      <c r="D8" s="35">
        <v>7818075.7950397199</v>
      </c>
      <c r="E8" s="18">
        <v>411</v>
      </c>
      <c r="F8" s="18">
        <v>6197631.0440831799</v>
      </c>
      <c r="G8" s="24">
        <f t="shared" si="1"/>
        <v>89.737991266375545</v>
      </c>
      <c r="H8" s="45">
        <f t="shared" si="2"/>
        <v>79.273100012861832</v>
      </c>
      <c r="I8" s="22">
        <f t="shared" si="5"/>
        <v>10.464891253513713</v>
      </c>
      <c r="J8" s="18">
        <v>47</v>
      </c>
      <c r="K8" s="18">
        <v>1620444.75095654</v>
      </c>
      <c r="L8" s="20">
        <f t="shared" si="3"/>
        <v>10.262008733624455</v>
      </c>
      <c r="M8" s="20">
        <f t="shared" si="4"/>
        <v>20.726899987138168</v>
      </c>
      <c r="N8" s="24">
        <f t="shared" si="6"/>
        <v>-10.464891253513713</v>
      </c>
    </row>
    <row r="9" spans="1:16">
      <c r="A9" s="17" t="s">
        <v>26</v>
      </c>
      <c r="B9" s="17" t="s">
        <v>18</v>
      </c>
      <c r="C9" s="36">
        <f t="shared" si="0"/>
        <v>248</v>
      </c>
      <c r="D9" s="35">
        <v>4801421.9294115799</v>
      </c>
      <c r="E9" s="18">
        <v>218</v>
      </c>
      <c r="F9" s="18">
        <v>3485480.3303398099</v>
      </c>
      <c r="G9" s="24">
        <f t="shared" si="1"/>
        <v>87.903225806451616</v>
      </c>
      <c r="H9" s="45">
        <f t="shared" si="2"/>
        <v>72.59266903808556</v>
      </c>
      <c r="I9" s="22">
        <f t="shared" si="5"/>
        <v>15.310556768366055</v>
      </c>
      <c r="J9" s="18">
        <v>30</v>
      </c>
      <c r="K9" s="18">
        <v>1315941.59907177</v>
      </c>
      <c r="L9" s="20">
        <f t="shared" si="3"/>
        <v>12.096774193548388</v>
      </c>
      <c r="M9" s="20">
        <f t="shared" si="4"/>
        <v>27.40733096191445</v>
      </c>
      <c r="N9" s="24">
        <f t="shared" si="6"/>
        <v>-15.310556768366062</v>
      </c>
    </row>
    <row r="10" spans="1:16">
      <c r="A10" s="17" t="s">
        <v>4</v>
      </c>
      <c r="B10" s="17" t="s">
        <v>28</v>
      </c>
      <c r="C10" s="36">
        <f t="shared" si="0"/>
        <v>43</v>
      </c>
      <c r="D10" s="35">
        <v>1653243.1449701702</v>
      </c>
      <c r="E10" s="18">
        <v>31</v>
      </c>
      <c r="F10" s="18">
        <v>978265.58189221995</v>
      </c>
      <c r="G10" s="20">
        <f t="shared" si="1"/>
        <v>72.093023255813947</v>
      </c>
      <c r="H10" s="45">
        <f t="shared" si="2"/>
        <v>59.172517053435044</v>
      </c>
      <c r="I10" s="22">
        <f t="shared" si="5"/>
        <v>12.920506202378903</v>
      </c>
      <c r="J10" s="18">
        <v>12</v>
      </c>
      <c r="K10" s="18">
        <v>674977.56307795015</v>
      </c>
      <c r="L10" s="20">
        <f t="shared" si="3"/>
        <v>27.906976744186046</v>
      </c>
      <c r="M10" s="20">
        <f t="shared" si="4"/>
        <v>40.827482946564942</v>
      </c>
      <c r="N10" s="24">
        <f t="shared" si="6"/>
        <v>-12.920506202378895</v>
      </c>
    </row>
    <row r="11" spans="1:16">
      <c r="A11" s="17" t="s">
        <v>29</v>
      </c>
      <c r="B11" s="17" t="s">
        <v>30</v>
      </c>
      <c r="C11" s="36">
        <f t="shared" si="0"/>
        <v>96</v>
      </c>
      <c r="D11" s="35">
        <v>2146281.7870169804</v>
      </c>
      <c r="E11" s="18">
        <v>75</v>
      </c>
      <c r="F11" s="18">
        <v>1326280.0110037101</v>
      </c>
      <c r="G11" s="20">
        <f t="shared" si="1"/>
        <v>78.125</v>
      </c>
      <c r="H11" s="45">
        <f t="shared" si="2"/>
        <v>61.794309536915307</v>
      </c>
      <c r="I11" s="22">
        <f t="shared" si="5"/>
        <v>16.330690463084693</v>
      </c>
      <c r="J11" s="18">
        <v>21</v>
      </c>
      <c r="K11" s="18">
        <v>820001.77601327002</v>
      </c>
      <c r="L11" s="20">
        <f t="shared" si="3"/>
        <v>21.875</v>
      </c>
      <c r="M11" s="20">
        <f t="shared" si="4"/>
        <v>38.205690463084686</v>
      </c>
      <c r="N11" s="24">
        <f t="shared" si="6"/>
        <v>-16.330690463084686</v>
      </c>
    </row>
    <row r="12" spans="1:16">
      <c r="A12" s="17" t="s">
        <v>31</v>
      </c>
      <c r="B12" s="17" t="s">
        <v>28</v>
      </c>
      <c r="C12" s="36">
        <f t="shared" si="0"/>
        <v>121</v>
      </c>
      <c r="D12" s="35">
        <v>3696250.3021684201</v>
      </c>
      <c r="E12" s="18">
        <v>88</v>
      </c>
      <c r="F12" s="18">
        <v>2308066.7735145302</v>
      </c>
      <c r="G12" s="20">
        <f t="shared" si="1"/>
        <v>72.727272727272734</v>
      </c>
      <c r="H12" s="45">
        <f t="shared" si="2"/>
        <v>62.443465264256957</v>
      </c>
      <c r="I12" s="22">
        <f t="shared" si="5"/>
        <v>10.283807463015776</v>
      </c>
      <c r="J12" s="18">
        <v>33</v>
      </c>
      <c r="K12" s="18">
        <v>1388183.5286538899</v>
      </c>
      <c r="L12" s="20">
        <f t="shared" si="3"/>
        <v>27.27272727272727</v>
      </c>
      <c r="M12" s="20">
        <f t="shared" si="4"/>
        <v>37.556534735743043</v>
      </c>
      <c r="N12" s="24">
        <f t="shared" si="6"/>
        <v>-10.283807463015773</v>
      </c>
    </row>
    <row r="13" spans="1:16">
      <c r="A13" s="17" t="s">
        <v>32</v>
      </c>
      <c r="B13" s="17" t="s">
        <v>18</v>
      </c>
      <c r="C13" s="36">
        <f t="shared" si="0"/>
        <v>135</v>
      </c>
      <c r="D13" s="35">
        <v>3722812.3099245899</v>
      </c>
      <c r="E13" s="18">
        <v>111</v>
      </c>
      <c r="F13" s="18">
        <v>3001371.54412797</v>
      </c>
      <c r="G13" s="20">
        <f t="shared" si="1"/>
        <v>82.222222222222214</v>
      </c>
      <c r="H13" s="45">
        <f t="shared" si="2"/>
        <v>80.621081436919567</v>
      </c>
      <c r="I13" s="22">
        <f t="shared" si="5"/>
        <v>1.6011407853026469</v>
      </c>
      <c r="J13" s="18">
        <v>24</v>
      </c>
      <c r="K13" s="18">
        <v>721440.76579661993</v>
      </c>
      <c r="L13" s="20">
        <f t="shared" si="3"/>
        <v>17.777777777777779</v>
      </c>
      <c r="M13" s="20">
        <f t="shared" si="4"/>
        <v>19.378918563080436</v>
      </c>
      <c r="N13" s="24">
        <f t="shared" si="6"/>
        <v>-1.6011407853026576</v>
      </c>
    </row>
    <row r="14" spans="1:16">
      <c r="A14" s="17" t="s">
        <v>34</v>
      </c>
      <c r="B14" s="17" t="s">
        <v>28</v>
      </c>
      <c r="C14" s="36">
        <f t="shared" si="0"/>
        <v>103</v>
      </c>
      <c r="D14" s="35">
        <v>1796712.2030861701</v>
      </c>
      <c r="E14" s="18">
        <v>75</v>
      </c>
      <c r="F14" s="18">
        <v>1165462.7095774501</v>
      </c>
      <c r="G14" s="20">
        <f t="shared" si="1"/>
        <v>72.815533980582529</v>
      </c>
      <c r="H14" s="45">
        <f t="shared" si="2"/>
        <v>64.866410300746125</v>
      </c>
      <c r="I14" s="22">
        <f t="shared" si="5"/>
        <v>7.9491236798364042</v>
      </c>
      <c r="J14" s="18">
        <v>28</v>
      </c>
      <c r="K14" s="18">
        <v>631249.49350872007</v>
      </c>
      <c r="L14" s="20">
        <f t="shared" si="3"/>
        <v>27.184466019417474</v>
      </c>
      <c r="M14" s="20">
        <f t="shared" si="4"/>
        <v>35.133589699253875</v>
      </c>
      <c r="N14" s="24">
        <f t="shared" si="6"/>
        <v>-7.9491236798364007</v>
      </c>
    </row>
    <row r="15" spans="1:16">
      <c r="A15" s="17" t="s">
        <v>35</v>
      </c>
      <c r="B15" s="17" t="s">
        <v>28</v>
      </c>
      <c r="C15" s="36">
        <f t="shared" si="0"/>
        <v>48</v>
      </c>
      <c r="D15" s="35">
        <v>1424212.4416990299</v>
      </c>
      <c r="E15" s="18">
        <v>27</v>
      </c>
      <c r="F15" s="18">
        <v>807117.16677325999</v>
      </c>
      <c r="G15" s="20">
        <f t="shared" si="1"/>
        <v>56.25</v>
      </c>
      <c r="H15" s="45">
        <f t="shared" si="2"/>
        <v>56.671121747146145</v>
      </c>
      <c r="I15" s="22">
        <f t="shared" si="5"/>
        <v>-0.42112174714614525</v>
      </c>
      <c r="J15" s="18">
        <v>21</v>
      </c>
      <c r="K15" s="18">
        <v>617095.27492577001</v>
      </c>
      <c r="L15" s="20">
        <f t="shared" si="3"/>
        <v>43.75</v>
      </c>
      <c r="M15" s="20">
        <f t="shared" si="4"/>
        <v>43.328878252853862</v>
      </c>
      <c r="N15" s="24">
        <f t="shared" si="6"/>
        <v>0.42112174714613815</v>
      </c>
    </row>
    <row r="16" spans="1:16">
      <c r="A16" s="17" t="s">
        <v>3</v>
      </c>
      <c r="B16" s="17" t="s">
        <v>30</v>
      </c>
      <c r="C16" s="36">
        <f t="shared" si="0"/>
        <v>278</v>
      </c>
      <c r="D16" s="35">
        <v>10881598.775513291</v>
      </c>
      <c r="E16" s="18">
        <v>202</v>
      </c>
      <c r="F16" s="18">
        <v>6362648.5433587003</v>
      </c>
      <c r="G16" s="20">
        <f t="shared" si="1"/>
        <v>72.661870503597129</v>
      </c>
      <c r="H16" s="45">
        <f t="shared" si="2"/>
        <v>58.471633393398761</v>
      </c>
      <c r="I16" s="22">
        <f t="shared" si="5"/>
        <v>14.190237110198368</v>
      </c>
      <c r="J16" s="18">
        <v>76</v>
      </c>
      <c r="K16" s="18">
        <v>4518950.2321545901</v>
      </c>
      <c r="L16" s="20">
        <f t="shared" si="3"/>
        <v>27.338129496402878</v>
      </c>
      <c r="M16" s="20">
        <f t="shared" si="4"/>
        <v>41.528366606601232</v>
      </c>
      <c r="N16" s="24">
        <f t="shared" si="6"/>
        <v>-14.190237110198353</v>
      </c>
    </row>
    <row r="17" spans="1:16">
      <c r="A17" s="17" t="s">
        <v>36</v>
      </c>
      <c r="B17" s="17" t="s">
        <v>15</v>
      </c>
      <c r="C17" s="36">
        <f t="shared" si="0"/>
        <v>189</v>
      </c>
      <c r="D17" s="35">
        <v>4465628.65397848</v>
      </c>
      <c r="E17" s="18">
        <v>171</v>
      </c>
      <c r="F17" s="18">
        <v>3559454.7855454902</v>
      </c>
      <c r="G17" s="20">
        <f t="shared" si="1"/>
        <v>90.476190476190482</v>
      </c>
      <c r="H17" s="45">
        <f t="shared" si="2"/>
        <v>79.707809613195906</v>
      </c>
      <c r="I17" s="22">
        <f t="shared" si="5"/>
        <v>10.768380862994576</v>
      </c>
      <c r="J17" s="18">
        <v>18</v>
      </c>
      <c r="K17" s="18">
        <v>906173.86843299004</v>
      </c>
      <c r="L17" s="20">
        <f t="shared" si="3"/>
        <v>9.5238095238095237</v>
      </c>
      <c r="M17" s="20">
        <f t="shared" si="4"/>
        <v>20.292190386804091</v>
      </c>
      <c r="N17" s="24">
        <f t="shared" si="6"/>
        <v>-10.768380862994567</v>
      </c>
    </row>
    <row r="18" spans="1:16">
      <c r="A18" s="17" t="s">
        <v>37</v>
      </c>
      <c r="B18" s="17" t="s">
        <v>18</v>
      </c>
      <c r="C18" s="36">
        <f t="shared" si="0"/>
        <v>76</v>
      </c>
      <c r="D18" s="35">
        <v>2124434.50738724</v>
      </c>
      <c r="E18" s="18">
        <v>55</v>
      </c>
      <c r="F18" s="18">
        <v>1378608.0837021</v>
      </c>
      <c r="G18" s="20">
        <f t="shared" si="1"/>
        <v>72.368421052631575</v>
      </c>
      <c r="H18" s="45">
        <f t="shared" si="2"/>
        <v>64.892943458991198</v>
      </c>
      <c r="I18" s="22">
        <f t="shared" si="5"/>
        <v>7.4754775936403774</v>
      </c>
      <c r="J18" s="18">
        <v>21</v>
      </c>
      <c r="K18" s="18">
        <v>745826.42368513998</v>
      </c>
      <c r="L18" s="20">
        <f t="shared" si="3"/>
        <v>27.631578947368425</v>
      </c>
      <c r="M18" s="20">
        <f t="shared" si="4"/>
        <v>35.107056541008795</v>
      </c>
      <c r="N18" s="24">
        <f t="shared" si="6"/>
        <v>-7.4754775936403703</v>
      </c>
    </row>
    <row r="19" spans="1:16">
      <c r="A19" s="17" t="s">
        <v>38</v>
      </c>
      <c r="B19" s="17" t="s">
        <v>39</v>
      </c>
      <c r="C19" s="36">
        <f t="shared" si="0"/>
        <v>227</v>
      </c>
      <c r="D19" s="35">
        <v>5939872.4899115004</v>
      </c>
      <c r="E19" s="18">
        <v>76</v>
      </c>
      <c r="F19" s="18">
        <v>2096155.5956920499</v>
      </c>
      <c r="G19" s="24">
        <f t="shared" si="1"/>
        <v>33.480176211453745</v>
      </c>
      <c r="H19" s="45">
        <f t="shared" si="2"/>
        <v>35.289572280419122</v>
      </c>
      <c r="I19" s="22">
        <f t="shared" si="5"/>
        <v>-1.809396068965377</v>
      </c>
      <c r="J19" s="18">
        <v>151</v>
      </c>
      <c r="K19" s="18">
        <v>3843716.8942194502</v>
      </c>
      <c r="L19" s="20">
        <f t="shared" si="3"/>
        <v>66.519823788546248</v>
      </c>
      <c r="M19" s="20">
        <f t="shared" si="4"/>
        <v>64.710427719580878</v>
      </c>
      <c r="N19" s="24">
        <f t="shared" si="6"/>
        <v>1.8093960689653699</v>
      </c>
    </row>
    <row r="20" spans="1:16">
      <c r="A20" s="17" t="s">
        <v>40</v>
      </c>
      <c r="B20" s="17" t="s">
        <v>18</v>
      </c>
      <c r="C20" s="36">
        <f t="shared" si="0"/>
        <v>288</v>
      </c>
      <c r="D20" s="35">
        <v>5056831.2420158498</v>
      </c>
      <c r="E20" s="18">
        <v>240</v>
      </c>
      <c r="F20" s="18">
        <v>3347607.5983632999</v>
      </c>
      <c r="G20" s="20">
        <f t="shared" si="1"/>
        <v>83.333333333333343</v>
      </c>
      <c r="H20" s="45">
        <f t="shared" si="2"/>
        <v>66.199709623467939</v>
      </c>
      <c r="I20" s="22">
        <f t="shared" si="5"/>
        <v>17.133623709865404</v>
      </c>
      <c r="J20" s="18">
        <v>48</v>
      </c>
      <c r="K20" s="18">
        <v>1709223.6436525499</v>
      </c>
      <c r="L20" s="20">
        <f t="shared" si="3"/>
        <v>16.666666666666664</v>
      </c>
      <c r="M20" s="20">
        <f t="shared" si="4"/>
        <v>33.800290376532061</v>
      </c>
      <c r="N20" s="24">
        <f t="shared" si="6"/>
        <v>-17.133623709865397</v>
      </c>
    </row>
    <row r="21" spans="1:16">
      <c r="A21" s="17" t="s">
        <v>41</v>
      </c>
      <c r="B21" s="17" t="s">
        <v>18</v>
      </c>
      <c r="C21" s="36">
        <f t="shared" si="0"/>
        <v>65</v>
      </c>
      <c r="D21" s="35">
        <v>1699823.4597289599</v>
      </c>
      <c r="E21" s="18">
        <v>61</v>
      </c>
      <c r="F21" s="18">
        <v>1336089.6135374</v>
      </c>
      <c r="G21" s="20">
        <f t="shared" si="1"/>
        <v>93.84615384615384</v>
      </c>
      <c r="H21" s="45">
        <f t="shared" si="2"/>
        <v>78.601669243372015</v>
      </c>
      <c r="I21" s="22">
        <f t="shared" si="5"/>
        <v>15.244484602781824</v>
      </c>
      <c r="J21" s="18">
        <v>4</v>
      </c>
      <c r="K21" s="18">
        <v>363733.84619155998</v>
      </c>
      <c r="L21" s="20">
        <f t="shared" si="3"/>
        <v>6.1538461538461542</v>
      </c>
      <c r="M21" s="20">
        <f t="shared" si="4"/>
        <v>21.398330756627988</v>
      </c>
      <c r="N21" s="24">
        <f t="shared" si="6"/>
        <v>-15.244484602781835</v>
      </c>
    </row>
    <row r="22" spans="1:16">
      <c r="A22" s="17" t="s">
        <v>42</v>
      </c>
      <c r="B22" s="17" t="s">
        <v>30</v>
      </c>
      <c r="C22" s="36">
        <f t="shared" si="0"/>
        <v>332</v>
      </c>
      <c r="D22" s="35">
        <v>9242542.6997863594</v>
      </c>
      <c r="E22" s="18">
        <v>205</v>
      </c>
      <c r="F22" s="18">
        <v>4918283.7647858504</v>
      </c>
      <c r="G22" s="20">
        <f t="shared" si="1"/>
        <v>61.746987951807228</v>
      </c>
      <c r="H22" s="45">
        <f t="shared" si="2"/>
        <v>53.21353576110107</v>
      </c>
      <c r="I22" s="22">
        <f t="shared" si="5"/>
        <v>8.5334521907061571</v>
      </c>
      <c r="J22" s="18">
        <v>127</v>
      </c>
      <c r="K22" s="18">
        <v>4324258.935000509</v>
      </c>
      <c r="L22" s="20">
        <f t="shared" si="3"/>
        <v>38.253012048192772</v>
      </c>
      <c r="M22" s="20">
        <f t="shared" si="4"/>
        <v>46.786464238898937</v>
      </c>
      <c r="N22" s="24">
        <f t="shared" si="6"/>
        <v>-8.5334521907061642</v>
      </c>
    </row>
    <row r="23" spans="1:16">
      <c r="A23" s="17" t="s">
        <v>43</v>
      </c>
      <c r="B23" s="17" t="s">
        <v>18</v>
      </c>
      <c r="C23" s="36">
        <f t="shared" si="0"/>
        <v>63</v>
      </c>
      <c r="D23" s="35">
        <v>1863782.59605552</v>
      </c>
      <c r="E23" s="18">
        <v>54</v>
      </c>
      <c r="F23" s="18">
        <v>1114387.2245658599</v>
      </c>
      <c r="G23" s="20">
        <f t="shared" si="1"/>
        <v>85.714285714285708</v>
      </c>
      <c r="H23" s="45">
        <f t="shared" si="2"/>
        <v>59.791696033879241</v>
      </c>
      <c r="I23" s="22">
        <f t="shared" si="5"/>
        <v>25.922589680406467</v>
      </c>
      <c r="J23" s="18">
        <v>9</v>
      </c>
      <c r="K23" s="18">
        <v>749395.37148966012</v>
      </c>
      <c r="L23" s="20">
        <f t="shared" si="3"/>
        <v>14.285714285714285</v>
      </c>
      <c r="M23" s="20">
        <f t="shared" si="4"/>
        <v>40.208303966120759</v>
      </c>
      <c r="N23" s="24">
        <f t="shared" si="6"/>
        <v>-25.922589680406475</v>
      </c>
    </row>
    <row r="24" spans="1:16">
      <c r="A24" s="17" t="s">
        <v>44</v>
      </c>
      <c r="B24" s="17" t="s">
        <v>39</v>
      </c>
      <c r="C24" s="36">
        <f t="shared" si="0"/>
        <v>223</v>
      </c>
      <c r="D24" s="35">
        <v>5873639.8605267899</v>
      </c>
      <c r="E24" s="18">
        <v>50</v>
      </c>
      <c r="F24" s="18">
        <v>1351828.9984736501</v>
      </c>
      <c r="G24" s="20">
        <f t="shared" si="1"/>
        <v>22.421524663677133</v>
      </c>
      <c r="H24" s="45">
        <f t="shared" si="2"/>
        <v>23.015183609715024</v>
      </c>
      <c r="I24" s="22">
        <f t="shared" si="5"/>
        <v>-0.59365894603789116</v>
      </c>
      <c r="J24" s="18">
        <v>173</v>
      </c>
      <c r="K24" s="18">
        <v>4521810.8620531401</v>
      </c>
      <c r="L24" s="20">
        <f t="shared" si="3"/>
        <v>77.578475336322867</v>
      </c>
      <c r="M24" s="20">
        <f t="shared" si="4"/>
        <v>76.984816390284976</v>
      </c>
      <c r="N24" s="24">
        <f t="shared" si="6"/>
        <v>0.59365894603789116</v>
      </c>
    </row>
    <row r="25" spans="1:16">
      <c r="A25" s="17" t="s">
        <v>45</v>
      </c>
      <c r="B25" s="17" t="s">
        <v>15</v>
      </c>
      <c r="C25" s="36">
        <f t="shared" si="0"/>
        <v>54</v>
      </c>
      <c r="D25" s="35">
        <v>916777.10036926006</v>
      </c>
      <c r="E25" s="18">
        <v>40</v>
      </c>
      <c r="F25" s="18">
        <v>635357.11146390007</v>
      </c>
      <c r="G25" s="20">
        <f t="shared" si="1"/>
        <v>74.074074074074076</v>
      </c>
      <c r="H25" s="45">
        <f t="shared" si="2"/>
        <v>69.303335697192963</v>
      </c>
      <c r="I25" s="22">
        <f t="shared" si="5"/>
        <v>4.7707383768811127</v>
      </c>
      <c r="J25" s="18">
        <v>14</v>
      </c>
      <c r="K25" s="18">
        <v>281419.98890535999</v>
      </c>
      <c r="L25" s="20">
        <f t="shared" si="3"/>
        <v>25.925925925925924</v>
      </c>
      <c r="M25" s="20">
        <f t="shared" si="4"/>
        <v>30.696664302807026</v>
      </c>
      <c r="N25" s="24">
        <f t="shared" si="6"/>
        <v>-4.770738376881102</v>
      </c>
    </row>
    <row r="26" spans="1:16">
      <c r="A26" s="17" t="s">
        <v>46</v>
      </c>
      <c r="B26" s="17" t="s">
        <v>15</v>
      </c>
      <c r="C26" s="36">
        <f t="shared" si="0"/>
        <v>30</v>
      </c>
      <c r="D26" s="35">
        <v>298612.21832195</v>
      </c>
      <c r="E26" s="18">
        <v>15</v>
      </c>
      <c r="F26" s="18">
        <v>217607.65072179999</v>
      </c>
      <c r="G26" s="20">
        <f t="shared" si="1"/>
        <v>50</v>
      </c>
      <c r="H26" s="45">
        <f t="shared" si="2"/>
        <v>72.872989573114324</v>
      </c>
      <c r="I26" s="22">
        <f t="shared" si="5"/>
        <v>-22.872989573114324</v>
      </c>
      <c r="J26" s="18">
        <v>15</v>
      </c>
      <c r="K26" s="18">
        <v>81004.567600149996</v>
      </c>
      <c r="L26" s="20">
        <f t="shared" si="3"/>
        <v>50</v>
      </c>
      <c r="M26" s="20">
        <f t="shared" si="4"/>
        <v>27.127010426885679</v>
      </c>
      <c r="N26" s="24">
        <f t="shared" si="6"/>
        <v>22.872989573114321</v>
      </c>
    </row>
    <row r="27" spans="1:16">
      <c r="A27" s="17" t="s">
        <v>5</v>
      </c>
      <c r="B27" s="17" t="s">
        <v>39</v>
      </c>
      <c r="C27" s="36">
        <f t="shared" si="0"/>
        <v>104</v>
      </c>
      <c r="D27" s="35">
        <v>3762010.89722125</v>
      </c>
      <c r="E27" s="18">
        <v>19</v>
      </c>
      <c r="F27" s="18">
        <v>799010.76810642995</v>
      </c>
      <c r="G27" s="20">
        <f t="shared" si="1"/>
        <v>18.269230769230766</v>
      </c>
      <c r="H27" s="45">
        <f t="shared" si="2"/>
        <v>21.238927529332958</v>
      </c>
      <c r="I27" s="22">
        <f t="shared" si="5"/>
        <v>-2.9696967601021917</v>
      </c>
      <c r="J27" s="18">
        <v>85</v>
      </c>
      <c r="K27" s="18">
        <v>2963000.1291148202</v>
      </c>
      <c r="L27" s="20">
        <f t="shared" si="3"/>
        <v>81.730769230769226</v>
      </c>
      <c r="M27" s="20">
        <f t="shared" si="4"/>
        <v>78.761072470667045</v>
      </c>
      <c r="N27" s="24">
        <f t="shared" si="6"/>
        <v>2.9696967601021811</v>
      </c>
    </row>
    <row r="28" spans="1:16">
      <c r="A28" s="17" t="s">
        <v>2</v>
      </c>
      <c r="B28" s="17" t="s">
        <v>30</v>
      </c>
      <c r="C28" s="36">
        <f t="shared" si="0"/>
        <v>386</v>
      </c>
      <c r="D28" s="35">
        <v>24207115.320204102</v>
      </c>
      <c r="E28" s="18">
        <v>170</v>
      </c>
      <c r="F28" s="18">
        <v>9882240.9546399396</v>
      </c>
      <c r="G28" s="20">
        <f t="shared" si="1"/>
        <v>44.041450777202073</v>
      </c>
      <c r="H28" s="45">
        <f t="shared" si="2"/>
        <v>40.823703377791063</v>
      </c>
      <c r="I28" s="22">
        <f t="shared" si="5"/>
        <v>3.2177473994110102</v>
      </c>
      <c r="J28" s="18">
        <v>216</v>
      </c>
      <c r="K28" s="18">
        <v>14324874.36556416</v>
      </c>
      <c r="L28" s="20">
        <f t="shared" si="3"/>
        <v>55.958549222797927</v>
      </c>
      <c r="M28" s="20">
        <f t="shared" si="4"/>
        <v>59.176296622208937</v>
      </c>
      <c r="N28" s="24">
        <f t="shared" si="6"/>
        <v>-3.2177473994110102</v>
      </c>
    </row>
    <row r="29" spans="1:16">
      <c r="A29" s="17" t="s">
        <v>47</v>
      </c>
      <c r="B29" s="17" t="s">
        <v>18</v>
      </c>
      <c r="C29" s="36">
        <f t="shared" si="0"/>
        <v>41</v>
      </c>
      <c r="D29" s="35">
        <v>1227894.48001232</v>
      </c>
      <c r="E29" s="18">
        <v>37</v>
      </c>
      <c r="F29" s="18">
        <v>932600.0108503201</v>
      </c>
      <c r="G29" s="20">
        <f t="shared" si="1"/>
        <v>90.243902439024396</v>
      </c>
      <c r="H29" s="45">
        <f t="shared" si="2"/>
        <v>75.951152646354672</v>
      </c>
      <c r="I29" s="22">
        <f t="shared" si="5"/>
        <v>14.292749792669724</v>
      </c>
      <c r="J29" s="18">
        <v>4</v>
      </c>
      <c r="K29" s="18">
        <v>295294.46916199999</v>
      </c>
      <c r="L29" s="20">
        <f t="shared" si="3"/>
        <v>9.7560975609756095</v>
      </c>
      <c r="M29" s="20">
        <f t="shared" si="4"/>
        <v>24.048847353645339</v>
      </c>
      <c r="N29" s="24">
        <f t="shared" si="6"/>
        <v>-14.29274979266973</v>
      </c>
    </row>
    <row r="30" spans="1:16">
      <c r="A30" s="17" t="s">
        <v>49</v>
      </c>
      <c r="B30" s="17" t="s">
        <v>15</v>
      </c>
      <c r="C30" s="36">
        <f t="shared" si="0"/>
        <v>29</v>
      </c>
      <c r="D30" s="35">
        <v>810856.96377887996</v>
      </c>
      <c r="E30" s="18">
        <v>23</v>
      </c>
      <c r="F30" s="18">
        <v>615650.55381675996</v>
      </c>
      <c r="G30" s="20">
        <f t="shared" si="1"/>
        <v>79.310344827586206</v>
      </c>
      <c r="H30" s="45">
        <f t="shared" si="2"/>
        <v>75.925913116366516</v>
      </c>
      <c r="I30" s="22">
        <f t="shared" si="5"/>
        <v>3.3844317112196904</v>
      </c>
      <c r="J30" s="18">
        <v>6</v>
      </c>
      <c r="K30" s="18">
        <v>195206.40996212</v>
      </c>
      <c r="L30" s="20">
        <f t="shared" si="3"/>
        <v>20.689655172413794</v>
      </c>
      <c r="M30" s="20">
        <f t="shared" si="4"/>
        <v>24.074086883633477</v>
      </c>
      <c r="N30" s="24">
        <f t="shared" si="6"/>
        <v>-3.3844317112196833</v>
      </c>
      <c r="P30" s="37" t="s">
        <v>73</v>
      </c>
    </row>
    <row r="31" spans="1:16">
      <c r="A31" s="17"/>
      <c r="B31" s="17"/>
      <c r="C31" s="36"/>
      <c r="D31" s="36"/>
      <c r="E31" s="18"/>
      <c r="F31" s="18"/>
      <c r="G31" s="20"/>
      <c r="H31" s="20"/>
      <c r="I31" s="20"/>
      <c r="J31" s="18"/>
      <c r="K31" s="18"/>
      <c r="L31" s="20"/>
      <c r="M31" s="21"/>
      <c r="N31" s="24"/>
    </row>
    <row r="33" spans="9:16">
      <c r="P33" s="28" t="s">
        <v>74</v>
      </c>
    </row>
    <row r="34" spans="9:16">
      <c r="I34" s="46">
        <f>27-5</f>
        <v>22</v>
      </c>
    </row>
    <row r="35" spans="9:16">
      <c r="I35">
        <f>I34/25*100</f>
        <v>88</v>
      </c>
    </row>
    <row r="60" spans="16:16">
      <c r="P60" s="37" t="s">
        <v>75</v>
      </c>
    </row>
  </sheetData>
  <conditionalFormatting sqref="I3:I31">
    <cfRule type="cellIs" dxfId="8" priority="2" operator="greaterThan">
      <formula>0</formula>
    </cfRule>
  </conditionalFormatting>
  <conditionalFormatting sqref="N3:N31">
    <cfRule type="cellIs" dxfId="7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333E-841A-4402-9693-3FA8518E2FB3}">
  <dimension ref="A1:E18"/>
  <sheetViews>
    <sheetView workbookViewId="0">
      <selection activeCell="E17" sqref="E17"/>
    </sheetView>
  </sheetViews>
  <sheetFormatPr defaultRowHeight="15"/>
  <cols>
    <col min="1" max="1" width="19" customWidth="1"/>
    <col min="2" max="2" width="9.28515625" customWidth="1"/>
  </cols>
  <sheetData>
    <row r="1" spans="1:5">
      <c r="A1" s="56" t="s">
        <v>76</v>
      </c>
      <c r="B1" s="56" t="s">
        <v>77</v>
      </c>
      <c r="C1" s="56"/>
      <c r="D1" s="17"/>
      <c r="E1" t="s">
        <v>78</v>
      </c>
    </row>
    <row r="2" spans="1:5">
      <c r="A2" s="56"/>
      <c r="B2" s="47" t="s">
        <v>79</v>
      </c>
      <c r="C2" s="47" t="s">
        <v>80</v>
      </c>
      <c r="D2" s="17"/>
    </row>
    <row r="3" spans="1:5">
      <c r="A3" s="17" t="s">
        <v>81</v>
      </c>
      <c r="B3" s="18">
        <v>64532</v>
      </c>
      <c r="C3" s="21">
        <f t="shared" ref="C3:C9" si="0">B3/$B$9*100</f>
        <v>37.384715206006398</v>
      </c>
      <c r="D3" s="17"/>
    </row>
    <row r="4" spans="1:5">
      <c r="A4" s="17" t="s">
        <v>82</v>
      </c>
      <c r="B4" s="18">
        <v>52326</v>
      </c>
      <c r="C4" s="21">
        <f t="shared" si="0"/>
        <v>30.313528294016777</v>
      </c>
      <c r="D4" s="17"/>
    </row>
    <row r="5" spans="1:5">
      <c r="A5" s="17" t="s">
        <v>83</v>
      </c>
      <c r="B5" s="18">
        <v>20746</v>
      </c>
      <c r="C5" s="21">
        <f t="shared" si="0"/>
        <v>12.018584603976457</v>
      </c>
      <c r="D5" s="17"/>
    </row>
    <row r="6" spans="1:5">
      <c r="A6" s="17" t="s">
        <v>84</v>
      </c>
      <c r="B6" s="18">
        <v>17501</v>
      </c>
      <c r="C6" s="21">
        <f t="shared" si="0"/>
        <v>10.138689345136024</v>
      </c>
      <c r="D6" s="17"/>
    </row>
    <row r="7" spans="1:5">
      <c r="A7" s="17" t="s">
        <v>85</v>
      </c>
      <c r="B7" s="18">
        <v>16460</v>
      </c>
      <c r="C7" s="21">
        <f t="shared" si="0"/>
        <v>9.5356166288177224</v>
      </c>
      <c r="D7" s="17"/>
    </row>
    <row r="8" spans="1:5">
      <c r="A8" s="17" t="s">
        <v>86</v>
      </c>
      <c r="B8" s="18">
        <v>1051</v>
      </c>
      <c r="C8" s="21">
        <f t="shared" si="0"/>
        <v>0.60886592204662371</v>
      </c>
      <c r="D8" s="17"/>
    </row>
    <row r="9" spans="1:5">
      <c r="A9" s="17" t="s">
        <v>51</v>
      </c>
      <c r="B9" s="18">
        <v>172616</v>
      </c>
      <c r="C9" s="21">
        <f t="shared" si="0"/>
        <v>100</v>
      </c>
      <c r="D9" s="17"/>
    </row>
    <row r="10" spans="1:5" ht="14.45" customHeight="1">
      <c r="A10" s="57" t="s">
        <v>87</v>
      </c>
      <c r="B10" s="57"/>
      <c r="C10" s="57"/>
      <c r="D10" s="17"/>
    </row>
    <row r="11" spans="1:5">
      <c r="A11" s="57"/>
      <c r="B11" s="57"/>
      <c r="C11" s="57"/>
      <c r="D11" s="17"/>
    </row>
    <row r="12" spans="1:5">
      <c r="A12" s="57"/>
      <c r="B12" s="57"/>
      <c r="C12" s="57"/>
      <c r="D12" s="17"/>
    </row>
    <row r="13" spans="1:5">
      <c r="A13" s="57"/>
      <c r="B13" s="57"/>
      <c r="C13" s="57"/>
    </row>
    <row r="14" spans="1:5">
      <c r="A14" s="48"/>
      <c r="B14" s="48"/>
      <c r="C14" s="48"/>
    </row>
    <row r="15" spans="1:5">
      <c r="A15" s="48"/>
      <c r="B15" s="48"/>
      <c r="C15" s="48"/>
    </row>
    <row r="16" spans="1:5">
      <c r="A16" s="48"/>
      <c r="B16" s="48"/>
      <c r="C16" s="48"/>
    </row>
    <row r="17" spans="1:5">
      <c r="A17" s="48"/>
      <c r="B17" s="48"/>
      <c r="C17" s="48"/>
      <c r="E17" s="17" t="s">
        <v>87</v>
      </c>
    </row>
    <row r="18" spans="1:5">
      <c r="A18" s="48"/>
      <c r="B18" s="48"/>
      <c r="C18" s="48"/>
    </row>
  </sheetData>
  <sortState xmlns:xlrd2="http://schemas.microsoft.com/office/spreadsheetml/2017/richdata2" ref="A4:C8">
    <sortCondition descending="1" ref="C3:C8"/>
  </sortState>
  <mergeCells count="3">
    <mergeCell ref="B1:C1"/>
    <mergeCell ref="A1:A2"/>
    <mergeCell ref="A10:C1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BDDB-A5F6-4DB4-8857-E7C02C14F89A}">
  <dimension ref="A1:C15"/>
  <sheetViews>
    <sheetView workbookViewId="0">
      <selection activeCell="H9" sqref="H9"/>
    </sheetView>
  </sheetViews>
  <sheetFormatPr defaultColWidth="8.85546875" defaultRowHeight="13.5"/>
  <cols>
    <col min="1" max="1" width="34.7109375" style="49" customWidth="1"/>
    <col min="2" max="3" width="11.7109375" style="49" customWidth="1"/>
    <col min="4" max="16384" width="8.85546875" style="49"/>
  </cols>
  <sheetData>
    <row r="1" spans="1:3">
      <c r="A1" s="49" t="s">
        <v>88</v>
      </c>
    </row>
    <row r="3" spans="1:3">
      <c r="A3" s="58" t="s">
        <v>89</v>
      </c>
      <c r="B3" s="58" t="s">
        <v>90</v>
      </c>
      <c r="C3" s="58"/>
    </row>
    <row r="4" spans="1:3">
      <c r="A4" s="58"/>
      <c r="B4" s="52" t="s">
        <v>79</v>
      </c>
      <c r="C4" s="52" t="s">
        <v>80</v>
      </c>
    </row>
    <row r="5" spans="1:3">
      <c r="A5" s="49" t="s">
        <v>91</v>
      </c>
      <c r="B5" s="50">
        <v>190163</v>
      </c>
      <c r="C5" s="51">
        <f t="shared" ref="C5:C14" si="0">B5/$B$14*100</f>
        <v>73.280821891413837</v>
      </c>
    </row>
    <row r="6" spans="1:3">
      <c r="A6" s="49" t="s">
        <v>92</v>
      </c>
      <c r="B6" s="50">
        <v>30512</v>
      </c>
      <c r="C6" s="51">
        <f t="shared" si="0"/>
        <v>11.758041456807156</v>
      </c>
    </row>
    <row r="7" spans="1:3">
      <c r="A7" s="49" t="s">
        <v>86</v>
      </c>
      <c r="B7" s="50">
        <v>18592</v>
      </c>
      <c r="C7" s="51">
        <f t="shared" si="0"/>
        <v>7.1645748153172066</v>
      </c>
    </row>
    <row r="8" spans="1:3">
      <c r="A8" s="49" t="s">
        <v>93</v>
      </c>
      <c r="B8" s="50">
        <v>6043</v>
      </c>
      <c r="C8" s="51">
        <f t="shared" si="0"/>
        <v>2.3287180297419257</v>
      </c>
    </row>
    <row r="9" spans="1:3">
      <c r="A9" s="49" t="s">
        <v>94</v>
      </c>
      <c r="B9" s="50">
        <v>5670</v>
      </c>
      <c r="C9" s="51">
        <f t="shared" si="0"/>
        <v>2.1849795182255041</v>
      </c>
    </row>
    <row r="10" spans="1:3">
      <c r="A10" s="49" t="s">
        <v>95</v>
      </c>
      <c r="B10" s="50">
        <v>5835</v>
      </c>
      <c r="C10" s="51">
        <f t="shared" si="0"/>
        <v>2.2485635782796853</v>
      </c>
    </row>
    <row r="11" spans="1:3">
      <c r="A11" s="49" t="s">
        <v>96</v>
      </c>
      <c r="B11" s="50">
        <v>1699</v>
      </c>
      <c r="C11" s="51">
        <f t="shared" si="0"/>
        <v>0.65472313958820649</v>
      </c>
    </row>
    <row r="12" spans="1:3">
      <c r="A12" s="49" t="s">
        <v>97</v>
      </c>
      <c r="B12" s="50">
        <v>696</v>
      </c>
      <c r="C12" s="51">
        <f t="shared" si="0"/>
        <v>0.26820912604672853</v>
      </c>
    </row>
    <row r="13" spans="1:3">
      <c r="A13" s="49" t="s">
        <v>98</v>
      </c>
      <c r="B13" s="50">
        <v>289</v>
      </c>
      <c r="C13" s="51">
        <f t="shared" si="0"/>
        <v>0.1113684445797479</v>
      </c>
    </row>
    <row r="14" spans="1:3">
      <c r="A14" s="53" t="s">
        <v>51</v>
      </c>
      <c r="B14" s="54">
        <f>SUM(B5:B13)</f>
        <v>259499</v>
      </c>
      <c r="C14" s="55">
        <f t="shared" si="0"/>
        <v>100</v>
      </c>
    </row>
    <row r="15" spans="1:3">
      <c r="A15" s="49" t="s">
        <v>99</v>
      </c>
    </row>
  </sheetData>
  <mergeCells count="2">
    <mergeCell ref="A3:A4"/>
    <mergeCell ref="B3:C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7BD3-0FE9-437B-8774-1B2B7E8B7B04}">
  <dimension ref="A1:G66"/>
  <sheetViews>
    <sheetView tabSelected="1" zoomScale="80" zoomScaleNormal="80" workbookViewId="0">
      <selection activeCell="E29" sqref="E29"/>
    </sheetView>
  </sheetViews>
  <sheetFormatPr defaultRowHeight="15"/>
  <cols>
    <col min="1" max="1" width="20.140625" bestFit="1" customWidth="1"/>
    <col min="2" max="2" width="4.140625" bestFit="1" customWidth="1"/>
    <col min="3" max="3" width="11.5703125" bestFit="1" customWidth="1"/>
    <col min="4" max="4" width="13.42578125" bestFit="1" customWidth="1"/>
    <col min="5" max="5" width="19.7109375" bestFit="1" customWidth="1"/>
    <col min="6" max="6" width="13.85546875" bestFit="1" customWidth="1"/>
  </cols>
  <sheetData>
    <row r="1" spans="1:6">
      <c r="A1" s="38" t="s">
        <v>7</v>
      </c>
      <c r="B1" s="38" t="s">
        <v>100</v>
      </c>
      <c r="C1" s="38" t="s">
        <v>101</v>
      </c>
      <c r="D1" s="38" t="s">
        <v>102</v>
      </c>
      <c r="E1" s="40" t="s">
        <v>103</v>
      </c>
      <c r="F1" s="40" t="s">
        <v>104</v>
      </c>
    </row>
    <row r="2" spans="1:6">
      <c r="A2" t="s">
        <v>14</v>
      </c>
      <c r="B2" t="s">
        <v>105</v>
      </c>
      <c r="C2" s="39">
        <v>372670.60064796999</v>
      </c>
      <c r="D2" s="39">
        <v>95738.116613830003</v>
      </c>
      <c r="E2" s="41">
        <f>SUM(C2:D2)</f>
        <v>468408.71726179996</v>
      </c>
      <c r="F2" s="4">
        <v>468408.71726180002</v>
      </c>
    </row>
    <row r="3" spans="1:6">
      <c r="A3" t="s">
        <v>17</v>
      </c>
      <c r="B3" t="s">
        <v>106</v>
      </c>
      <c r="C3" s="39">
        <v>1252861.4455186799</v>
      </c>
      <c r="D3" s="39">
        <v>519799.34189783002</v>
      </c>
      <c r="E3" s="41">
        <f t="shared" ref="E3:E28" si="0">SUM(C3:D3)</f>
        <v>1772660.7874165098</v>
      </c>
      <c r="F3" s="4">
        <v>1772660.7874165101</v>
      </c>
    </row>
    <row r="4" spans="1:6">
      <c r="A4" t="s">
        <v>20</v>
      </c>
      <c r="B4" t="s">
        <v>107</v>
      </c>
      <c r="C4" s="39">
        <v>367768.54705911002</v>
      </c>
      <c r="D4" s="39">
        <v>94063.086298470007</v>
      </c>
      <c r="E4" s="41">
        <f t="shared" si="0"/>
        <v>461831.63335758005</v>
      </c>
      <c r="F4" s="4">
        <v>461831.63335757999</v>
      </c>
    </row>
    <row r="5" spans="1:6">
      <c r="A5" t="s">
        <v>22</v>
      </c>
      <c r="B5" t="s">
        <v>108</v>
      </c>
      <c r="C5" s="39">
        <v>1614604.39889964</v>
      </c>
      <c r="D5" s="39">
        <v>466361.69577172003</v>
      </c>
      <c r="E5" s="41">
        <f t="shared" si="0"/>
        <v>2080966.09467136</v>
      </c>
      <c r="F5" s="4">
        <v>2080966.09467136</v>
      </c>
    </row>
    <row r="6" spans="1:6">
      <c r="A6" t="s">
        <v>24</v>
      </c>
      <c r="B6" t="s">
        <v>109</v>
      </c>
      <c r="C6" s="39">
        <v>6197631.0440831799</v>
      </c>
      <c r="D6" s="39">
        <v>1620444.75095654</v>
      </c>
      <c r="E6" s="41">
        <f t="shared" si="0"/>
        <v>7818075.7950397199</v>
      </c>
      <c r="F6" s="4">
        <v>7819645.04018714</v>
      </c>
    </row>
    <row r="7" spans="1:6">
      <c r="A7" t="s">
        <v>26</v>
      </c>
      <c r="B7" t="s">
        <v>110</v>
      </c>
      <c r="C7" s="39">
        <v>3485480.3303398099</v>
      </c>
      <c r="D7" s="39">
        <v>1315941.59907177</v>
      </c>
      <c r="E7" s="41">
        <f t="shared" si="0"/>
        <v>4801421.9294115799</v>
      </c>
      <c r="F7" s="4">
        <v>4802060.64196066</v>
      </c>
    </row>
    <row r="8" spans="1:6">
      <c r="A8" t="s">
        <v>4</v>
      </c>
      <c r="B8" t="s">
        <v>111</v>
      </c>
      <c r="C8" s="39">
        <v>978265.58189221995</v>
      </c>
      <c r="D8" s="39">
        <v>674977.56307795015</v>
      </c>
      <c r="E8" s="41">
        <f t="shared" si="0"/>
        <v>1653243.1449701702</v>
      </c>
      <c r="F8" s="4">
        <v>1654340.1473370399</v>
      </c>
    </row>
    <row r="9" spans="1:6">
      <c r="A9" t="s">
        <v>29</v>
      </c>
      <c r="B9" t="s">
        <v>112</v>
      </c>
      <c r="C9" s="39">
        <v>1326280.0110037101</v>
      </c>
      <c r="D9" s="39">
        <v>820001.77601327002</v>
      </c>
      <c r="E9" s="41">
        <f t="shared" si="0"/>
        <v>2146281.7870169804</v>
      </c>
      <c r="F9" s="4">
        <v>2146936.4643794801</v>
      </c>
    </row>
    <row r="10" spans="1:6">
      <c r="A10" t="s">
        <v>31</v>
      </c>
      <c r="B10" t="s">
        <v>113</v>
      </c>
      <c r="C10" s="39">
        <v>2308066.7735145302</v>
      </c>
      <c r="D10" s="39">
        <v>1388183.5286538899</v>
      </c>
      <c r="E10" s="41">
        <f t="shared" si="0"/>
        <v>3696250.3021684201</v>
      </c>
      <c r="F10" s="4">
        <v>3696250.3021684201</v>
      </c>
    </row>
    <row r="11" spans="1:6">
      <c r="A11" t="s">
        <v>32</v>
      </c>
      <c r="B11" t="s">
        <v>114</v>
      </c>
      <c r="C11" s="39">
        <v>3001371.54412797</v>
      </c>
      <c r="D11" s="39">
        <v>721440.76579661993</v>
      </c>
      <c r="E11" s="41">
        <f t="shared" si="0"/>
        <v>3722812.3099245899</v>
      </c>
      <c r="F11" s="4">
        <v>3729277.57429509</v>
      </c>
    </row>
    <row r="12" spans="1:6">
      <c r="A12" t="s">
        <v>34</v>
      </c>
      <c r="B12" t="s">
        <v>115</v>
      </c>
      <c r="C12" s="39">
        <v>1165462.7095774501</v>
      </c>
      <c r="D12" s="39">
        <v>631249.49350872007</v>
      </c>
      <c r="E12" s="41">
        <f t="shared" si="0"/>
        <v>1796712.2030861701</v>
      </c>
      <c r="F12" s="4">
        <v>1797266.77471439</v>
      </c>
    </row>
    <row r="13" spans="1:6">
      <c r="A13" t="s">
        <v>35</v>
      </c>
      <c r="B13" t="s">
        <v>116</v>
      </c>
      <c r="C13" s="39">
        <v>807117.16677325999</v>
      </c>
      <c r="D13" s="39">
        <v>617095.27492577001</v>
      </c>
      <c r="E13" s="41">
        <f t="shared" si="0"/>
        <v>1424212.4416990299</v>
      </c>
      <c r="F13" s="4">
        <v>1424212.4416990301</v>
      </c>
    </row>
    <row r="14" spans="1:6">
      <c r="A14" t="s">
        <v>3</v>
      </c>
      <c r="B14" t="s">
        <v>117</v>
      </c>
      <c r="C14" s="39">
        <v>6362648.5433587003</v>
      </c>
      <c r="D14" s="39">
        <v>4518950.2321545901</v>
      </c>
      <c r="E14" s="41">
        <f t="shared" si="0"/>
        <v>10881598.775513291</v>
      </c>
      <c r="F14" s="4">
        <v>10884828.23758346</v>
      </c>
    </row>
    <row r="15" spans="1:6">
      <c r="A15" t="s">
        <v>36</v>
      </c>
      <c r="B15" t="s">
        <v>118</v>
      </c>
      <c r="C15" s="39">
        <v>3559454.7855454902</v>
      </c>
      <c r="D15" s="39">
        <v>906173.86843299004</v>
      </c>
      <c r="E15" s="41">
        <f t="shared" si="0"/>
        <v>4465628.65397848</v>
      </c>
      <c r="F15" s="4">
        <v>4465628.65397848</v>
      </c>
    </row>
    <row r="16" spans="1:6">
      <c r="A16" t="s">
        <v>37</v>
      </c>
      <c r="B16" t="s">
        <v>119</v>
      </c>
      <c r="C16" s="39">
        <v>1378608.0837021</v>
      </c>
      <c r="D16" s="39">
        <v>745826.42368513998</v>
      </c>
      <c r="E16" s="41">
        <f t="shared" si="0"/>
        <v>2124434.50738724</v>
      </c>
      <c r="F16" s="4">
        <v>2124434.50738724</v>
      </c>
    </row>
    <row r="17" spans="1:7">
      <c r="A17" t="s">
        <v>38</v>
      </c>
      <c r="B17" t="s">
        <v>120</v>
      </c>
      <c r="C17" s="39">
        <v>2096155.5956920499</v>
      </c>
      <c r="D17" s="39">
        <v>3843716.8942194502</v>
      </c>
      <c r="E17" s="41">
        <f t="shared" si="0"/>
        <v>5939872.4899115004</v>
      </c>
      <c r="F17" s="4">
        <v>5940909.22440359</v>
      </c>
    </row>
    <row r="18" spans="1:7">
      <c r="A18" t="s">
        <v>40</v>
      </c>
      <c r="B18" t="s">
        <v>121</v>
      </c>
      <c r="C18" s="39">
        <v>3347607.5983632999</v>
      </c>
      <c r="D18" s="39">
        <v>1709223.6436525499</v>
      </c>
      <c r="E18" s="41">
        <f t="shared" si="0"/>
        <v>5056831.2420158498</v>
      </c>
      <c r="F18" s="4">
        <v>5056831.2420158498</v>
      </c>
    </row>
    <row r="19" spans="1:7">
      <c r="A19" t="s">
        <v>41</v>
      </c>
      <c r="B19" t="s">
        <v>122</v>
      </c>
      <c r="C19" s="39">
        <v>1336089.6135374</v>
      </c>
      <c r="D19" s="39">
        <v>363733.84619155998</v>
      </c>
      <c r="E19" s="41">
        <f t="shared" si="0"/>
        <v>1699823.4597289599</v>
      </c>
      <c r="F19" s="4">
        <v>1699823.4597289599</v>
      </c>
    </row>
    <row r="20" spans="1:7">
      <c r="A20" t="s">
        <v>42</v>
      </c>
      <c r="B20" t="s">
        <v>123</v>
      </c>
      <c r="C20" s="39">
        <v>4918283.7647858504</v>
      </c>
      <c r="D20" s="39">
        <v>4324258.935000509</v>
      </c>
      <c r="E20" s="41">
        <f t="shared" si="0"/>
        <v>9242542.6997863594</v>
      </c>
      <c r="F20" s="4">
        <v>9252942.5015740506</v>
      </c>
    </row>
    <row r="21" spans="1:7">
      <c r="A21" t="s">
        <v>43</v>
      </c>
      <c r="B21" t="s">
        <v>124</v>
      </c>
      <c r="C21" s="39">
        <v>1114387.2245658599</v>
      </c>
      <c r="D21" s="39">
        <v>749395.37148966012</v>
      </c>
      <c r="E21" s="41">
        <f t="shared" si="0"/>
        <v>1863782.59605552</v>
      </c>
      <c r="F21" s="4">
        <v>1863782.59605552</v>
      </c>
    </row>
    <row r="22" spans="1:7">
      <c r="A22" t="s">
        <v>44</v>
      </c>
      <c r="B22" t="s">
        <v>125</v>
      </c>
      <c r="C22" s="39">
        <v>1351828.9984736501</v>
      </c>
      <c r="D22" s="39">
        <v>4521810.8620531401</v>
      </c>
      <c r="E22" s="41">
        <f t="shared" si="0"/>
        <v>5873639.8605267899</v>
      </c>
      <c r="F22" s="4">
        <v>5874598.5108977901</v>
      </c>
    </row>
    <row r="23" spans="1:7">
      <c r="A23" t="s">
        <v>45</v>
      </c>
      <c r="B23" t="s">
        <v>126</v>
      </c>
      <c r="C23" s="39">
        <v>635357.11146390007</v>
      </c>
      <c r="D23" s="39">
        <v>281419.98890535999</v>
      </c>
      <c r="E23" s="41">
        <f t="shared" si="0"/>
        <v>916777.10036926006</v>
      </c>
      <c r="F23" s="4">
        <v>916777.10036925995</v>
      </c>
    </row>
    <row r="24" spans="1:7">
      <c r="A24" t="s">
        <v>46</v>
      </c>
      <c r="B24" t="s">
        <v>127</v>
      </c>
      <c r="C24" s="39">
        <v>217607.65072179999</v>
      </c>
      <c r="D24" s="39">
        <v>81004.567600149996</v>
      </c>
      <c r="E24" s="41">
        <f t="shared" si="0"/>
        <v>298612.21832195</v>
      </c>
      <c r="F24" s="4">
        <v>298612.21832195</v>
      </c>
    </row>
    <row r="25" spans="1:7">
      <c r="A25" t="s">
        <v>5</v>
      </c>
      <c r="B25" t="s">
        <v>128</v>
      </c>
      <c r="C25" s="39">
        <v>799010.76810642995</v>
      </c>
      <c r="D25" s="39">
        <v>2963000.1291148202</v>
      </c>
      <c r="E25" s="41">
        <f t="shared" si="0"/>
        <v>3762010.89722125</v>
      </c>
      <c r="F25" s="4">
        <v>3762712.4669868201</v>
      </c>
    </row>
    <row r="26" spans="1:7">
      <c r="A26" t="s">
        <v>2</v>
      </c>
      <c r="B26" t="s">
        <v>129</v>
      </c>
      <c r="C26" s="39">
        <v>9882240.9546399396</v>
      </c>
      <c r="D26" s="39">
        <v>14324874.36556416</v>
      </c>
      <c r="E26" s="41">
        <f t="shared" si="0"/>
        <v>24207115.320204102</v>
      </c>
      <c r="F26" s="4">
        <v>24218055.16073906</v>
      </c>
    </row>
    <row r="27" spans="1:7">
      <c r="A27" t="s">
        <v>47</v>
      </c>
      <c r="B27" t="s">
        <v>130</v>
      </c>
      <c r="C27" s="39">
        <v>932600.0108503201</v>
      </c>
      <c r="D27" s="39">
        <v>295294.46916199999</v>
      </c>
      <c r="E27" s="41">
        <f t="shared" si="0"/>
        <v>1227894.48001232</v>
      </c>
      <c r="F27" s="4">
        <v>1229355.54023939</v>
      </c>
    </row>
    <row r="28" spans="1:7">
      <c r="A28" t="s">
        <v>49</v>
      </c>
      <c r="B28" t="s">
        <v>131</v>
      </c>
      <c r="C28" s="39">
        <v>615650.55381675996</v>
      </c>
      <c r="D28" s="39">
        <v>195206.40996212</v>
      </c>
      <c r="E28" s="41">
        <f t="shared" si="0"/>
        <v>810856.96377887996</v>
      </c>
      <c r="F28" s="4">
        <v>810856.96377887996</v>
      </c>
    </row>
    <row r="29" spans="1:7">
      <c r="A29" t="s">
        <v>132</v>
      </c>
      <c r="C29" s="39">
        <f>SUM(C2:C28)</f>
        <v>61425111.411061093</v>
      </c>
      <c r="D29" s="39">
        <f>SUM(D2:D28)</f>
        <v>48789186.999774575</v>
      </c>
      <c r="E29" s="41">
        <f>SUM(E2:E28)</f>
        <v>110214298.41083568</v>
      </c>
      <c r="F29" s="4">
        <f>SUM(F2:F28)</f>
        <v>110254005.00350882</v>
      </c>
      <c r="G29" s="41"/>
    </row>
    <row r="30" spans="1:7">
      <c r="C30" s="39"/>
      <c r="D30" s="39"/>
      <c r="E30" s="41"/>
      <c r="F30" s="4"/>
    </row>
    <row r="31" spans="1:7">
      <c r="A31" t="s">
        <v>50</v>
      </c>
      <c r="C31" s="39">
        <v>5258912.2317574602</v>
      </c>
      <c r="D31" s="39">
        <v>3311505.8601663299</v>
      </c>
    </row>
    <row r="32" spans="1:7">
      <c r="A32" t="s">
        <v>19</v>
      </c>
      <c r="C32" s="39">
        <v>22046636.89508862</v>
      </c>
      <c r="D32" s="39">
        <v>8041100.2119036708</v>
      </c>
    </row>
    <row r="33" spans="1:4">
      <c r="A33" t="s">
        <v>21</v>
      </c>
      <c r="C33" s="39">
        <v>7383113.6481546694</v>
      </c>
      <c r="D33" s="39">
        <v>2119967.7335846401</v>
      </c>
    </row>
    <row r="34" spans="1:4">
      <c r="A34" t="s">
        <v>23</v>
      </c>
      <c r="C34" s="39">
        <v>22489453.273788199</v>
      </c>
      <c r="D34" s="39">
        <v>23988085.308732528</v>
      </c>
    </row>
    <row r="35" spans="1:4">
      <c r="A35" t="s">
        <v>25</v>
      </c>
      <c r="C35" s="39">
        <v>4246995.3622721303</v>
      </c>
      <c r="D35" s="39">
        <v>11328527.885387409</v>
      </c>
    </row>
    <row r="40" spans="1:4">
      <c r="C40" s="39"/>
    </row>
    <row r="41" spans="1:4">
      <c r="C41" s="39"/>
    </row>
    <row r="42" spans="1:4">
      <c r="C42" s="39"/>
    </row>
    <row r="43" spans="1:4">
      <c r="C43" s="39"/>
    </row>
    <row r="44" spans="1:4">
      <c r="C44" s="39"/>
    </row>
    <row r="45" spans="1:4">
      <c r="C45" s="39"/>
    </row>
    <row r="46" spans="1:4">
      <c r="C46" s="39"/>
    </row>
    <row r="47" spans="1:4">
      <c r="C47" s="39"/>
    </row>
    <row r="48" spans="1:4">
      <c r="C48" s="39"/>
    </row>
    <row r="49" spans="3:3">
      <c r="C49" s="39"/>
    </row>
    <row r="50" spans="3:3">
      <c r="C50" s="39"/>
    </row>
    <row r="51" spans="3:3">
      <c r="C51" s="39"/>
    </row>
    <row r="52" spans="3:3">
      <c r="C52" s="39"/>
    </row>
    <row r="53" spans="3:3">
      <c r="C53" s="39"/>
    </row>
    <row r="54" spans="3:3">
      <c r="C54" s="39"/>
    </row>
    <row r="55" spans="3:3">
      <c r="C55" s="39"/>
    </row>
    <row r="56" spans="3:3">
      <c r="C56" s="39"/>
    </row>
    <row r="57" spans="3:3">
      <c r="C57" s="39"/>
    </row>
    <row r="58" spans="3:3">
      <c r="C58" s="39"/>
    </row>
    <row r="59" spans="3:3">
      <c r="C59" s="39"/>
    </row>
    <row r="60" spans="3:3">
      <c r="C60" s="39"/>
    </row>
    <row r="61" spans="3:3">
      <c r="C61" s="39"/>
    </row>
    <row r="62" spans="3:3">
      <c r="C62" s="39"/>
    </row>
    <row r="63" spans="3:3">
      <c r="C63" s="39"/>
    </row>
    <row r="64" spans="3:3">
      <c r="C64" s="39"/>
    </row>
    <row r="65" spans="3:3">
      <c r="C65" s="39"/>
    </row>
    <row r="66" spans="3:3">
      <c r="C66" s="39"/>
    </row>
  </sheetData>
  <sortState xmlns:xlrd2="http://schemas.microsoft.com/office/spreadsheetml/2017/richdata2" ref="A40:C66">
    <sortCondition ref="A40:A66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4812-4ABC-4751-893C-12F7D900DAD9}">
  <dimension ref="A1:F29"/>
  <sheetViews>
    <sheetView workbookViewId="0">
      <selection activeCell="H26" sqref="H26"/>
    </sheetView>
  </sheetViews>
  <sheetFormatPr defaultColWidth="8.85546875" defaultRowHeight="11.25"/>
  <cols>
    <col min="1" max="1" width="14.7109375" style="12" bestFit="1" customWidth="1"/>
    <col min="2" max="2" width="9.28515625" style="12" bestFit="1" customWidth="1"/>
    <col min="3" max="3" width="11.42578125" style="12" bestFit="1" customWidth="1"/>
    <col min="4" max="4" width="14" style="12" bestFit="1" customWidth="1"/>
    <col min="5" max="16384" width="8.85546875" style="12"/>
  </cols>
  <sheetData>
    <row r="1" spans="1:6">
      <c r="A1" s="25" t="s">
        <v>7</v>
      </c>
      <c r="B1" s="25" t="s">
        <v>8</v>
      </c>
      <c r="C1" s="27" t="s">
        <v>133</v>
      </c>
      <c r="D1" s="27" t="s">
        <v>134</v>
      </c>
      <c r="E1" s="27" t="s">
        <v>127</v>
      </c>
    </row>
    <row r="2" spans="1:6">
      <c r="A2" s="26" t="s">
        <v>1</v>
      </c>
      <c r="B2" s="26" t="s">
        <v>71</v>
      </c>
      <c r="C2" s="12">
        <v>4.3</v>
      </c>
      <c r="D2" s="12">
        <v>2.5</v>
      </c>
      <c r="E2" s="15">
        <f>C2/D2</f>
        <v>1.72</v>
      </c>
    </row>
    <row r="3" spans="1:6">
      <c r="A3" s="12" t="s">
        <v>14</v>
      </c>
      <c r="B3" s="12" t="s">
        <v>15</v>
      </c>
      <c r="C3" s="12">
        <v>4</v>
      </c>
      <c r="D3" s="12">
        <v>3.1</v>
      </c>
      <c r="E3" s="15">
        <f t="shared" ref="E3:E29" si="0">C3/D3</f>
        <v>1.2903225806451613</v>
      </c>
      <c r="F3" s="15"/>
    </row>
    <row r="4" spans="1:6">
      <c r="A4" s="12" t="s">
        <v>17</v>
      </c>
      <c r="B4" s="12" t="s">
        <v>18</v>
      </c>
      <c r="C4" s="12">
        <v>5.7</v>
      </c>
      <c r="D4" s="12">
        <v>0.2</v>
      </c>
      <c r="E4" s="15">
        <f t="shared" si="0"/>
        <v>28.5</v>
      </c>
      <c r="F4" s="15"/>
    </row>
    <row r="5" spans="1:6">
      <c r="A5" s="12" t="s">
        <v>20</v>
      </c>
      <c r="B5" s="12" t="s">
        <v>15</v>
      </c>
      <c r="C5" s="12">
        <v>4.0999999999999996</v>
      </c>
      <c r="D5" s="12">
        <v>0</v>
      </c>
      <c r="E5" s="15" t="e">
        <f t="shared" si="0"/>
        <v>#DIV/0!</v>
      </c>
      <c r="F5" s="15"/>
    </row>
    <row r="6" spans="1:6">
      <c r="A6" s="12" t="s">
        <v>22</v>
      </c>
      <c r="B6" s="12" t="s">
        <v>15</v>
      </c>
      <c r="C6" s="12">
        <v>6.6</v>
      </c>
      <c r="D6" s="12">
        <v>3.2</v>
      </c>
      <c r="E6" s="15">
        <f t="shared" si="0"/>
        <v>2.0624999999999996</v>
      </c>
      <c r="F6" s="15"/>
    </row>
    <row r="7" spans="1:6">
      <c r="A7" s="12" t="s">
        <v>24</v>
      </c>
      <c r="B7" s="12" t="s">
        <v>18</v>
      </c>
      <c r="C7" s="12">
        <v>6.6</v>
      </c>
      <c r="D7" s="12">
        <v>2.9</v>
      </c>
      <c r="E7" s="15">
        <f t="shared" si="0"/>
        <v>2.2758620689655173</v>
      </c>
      <c r="F7" s="15"/>
    </row>
    <row r="8" spans="1:6">
      <c r="A8" s="12" t="s">
        <v>26</v>
      </c>
      <c r="B8" s="12" t="s">
        <v>18</v>
      </c>
      <c r="C8" s="12">
        <v>6.3</v>
      </c>
      <c r="D8" s="12">
        <v>2.2999999999999998</v>
      </c>
      <c r="E8" s="15">
        <f t="shared" si="0"/>
        <v>2.7391304347826089</v>
      </c>
      <c r="F8" s="15"/>
    </row>
    <row r="9" spans="1:6">
      <c r="A9" s="12" t="s">
        <v>4</v>
      </c>
      <c r="B9" s="12" t="s">
        <v>28</v>
      </c>
      <c r="C9" s="12">
        <v>3.2</v>
      </c>
      <c r="D9" s="12">
        <v>1.8</v>
      </c>
      <c r="E9" s="15">
        <f t="shared" si="0"/>
        <v>1.7777777777777779</v>
      </c>
      <c r="F9" s="15"/>
    </row>
    <row r="10" spans="1:6">
      <c r="A10" s="12" t="s">
        <v>29</v>
      </c>
      <c r="B10" s="12" t="s">
        <v>30</v>
      </c>
      <c r="C10" s="12">
        <v>5.7</v>
      </c>
      <c r="D10" s="12">
        <v>2.6</v>
      </c>
      <c r="E10" s="15">
        <f t="shared" si="0"/>
        <v>2.1923076923076925</v>
      </c>
      <c r="F10" s="15"/>
    </row>
    <row r="11" spans="1:6">
      <c r="A11" s="12" t="s">
        <v>31</v>
      </c>
      <c r="B11" s="12" t="s">
        <v>28</v>
      </c>
      <c r="C11" s="12">
        <v>3.8</v>
      </c>
      <c r="D11" s="12">
        <v>2.4</v>
      </c>
      <c r="E11" s="15">
        <f t="shared" si="0"/>
        <v>1.5833333333333333</v>
      </c>
      <c r="F11" s="15"/>
    </row>
    <row r="12" spans="1:6">
      <c r="A12" s="12" t="s">
        <v>32</v>
      </c>
      <c r="B12" s="12" t="s">
        <v>18</v>
      </c>
      <c r="C12" s="12">
        <v>3.7</v>
      </c>
      <c r="D12" s="12">
        <v>3.3</v>
      </c>
      <c r="E12" s="15">
        <f t="shared" si="0"/>
        <v>1.1212121212121213</v>
      </c>
      <c r="F12" s="15"/>
    </row>
    <row r="13" spans="1:6">
      <c r="A13" s="12" t="s">
        <v>34</v>
      </c>
      <c r="B13" s="12" t="s">
        <v>28</v>
      </c>
      <c r="C13" s="12">
        <v>6.4</v>
      </c>
      <c r="D13" s="12">
        <v>4.4000000000000004</v>
      </c>
      <c r="E13" s="15">
        <f t="shared" si="0"/>
        <v>1.4545454545454546</v>
      </c>
      <c r="F13" s="15"/>
    </row>
    <row r="14" spans="1:6">
      <c r="A14" s="12" t="s">
        <v>35</v>
      </c>
      <c r="B14" s="12" t="s">
        <v>28</v>
      </c>
      <c r="C14" s="12">
        <v>3.3</v>
      </c>
      <c r="D14" s="12">
        <v>3.4</v>
      </c>
      <c r="E14" s="15">
        <f t="shared" si="0"/>
        <v>0.97058823529411764</v>
      </c>
      <c r="F14" s="15"/>
    </row>
    <row r="15" spans="1:6">
      <c r="A15" s="12" t="s">
        <v>3</v>
      </c>
      <c r="B15" s="12" t="s">
        <v>30</v>
      </c>
      <c r="C15" s="12">
        <v>3.2</v>
      </c>
      <c r="D15" s="12">
        <v>1.7</v>
      </c>
      <c r="E15" s="15">
        <f t="shared" si="0"/>
        <v>1.8823529411764708</v>
      </c>
      <c r="F15" s="15"/>
    </row>
    <row r="16" spans="1:6">
      <c r="A16" s="12" t="s">
        <v>36</v>
      </c>
      <c r="B16" s="12" t="s">
        <v>15</v>
      </c>
      <c r="C16" s="12">
        <v>4.8</v>
      </c>
      <c r="D16" s="12">
        <v>2</v>
      </c>
      <c r="E16" s="15">
        <f t="shared" si="0"/>
        <v>2.4</v>
      </c>
      <c r="F16" s="15"/>
    </row>
    <row r="17" spans="1:6">
      <c r="A17" s="12" t="s">
        <v>37</v>
      </c>
      <c r="B17" s="12" t="s">
        <v>18</v>
      </c>
      <c r="C17" s="12">
        <v>4</v>
      </c>
      <c r="D17" s="12">
        <v>2.8</v>
      </c>
      <c r="E17" s="15">
        <f t="shared" si="0"/>
        <v>1.4285714285714286</v>
      </c>
      <c r="F17" s="15"/>
    </row>
    <row r="18" spans="1:6">
      <c r="A18" s="12" t="s">
        <v>38</v>
      </c>
      <c r="B18" s="12" t="s">
        <v>39</v>
      </c>
      <c r="C18" s="12">
        <v>3.6</v>
      </c>
      <c r="D18" s="12">
        <v>3.9</v>
      </c>
      <c r="E18" s="15">
        <f t="shared" si="0"/>
        <v>0.92307692307692313</v>
      </c>
      <c r="F18" s="15"/>
    </row>
    <row r="19" spans="1:6">
      <c r="A19" s="12" t="s">
        <v>40</v>
      </c>
      <c r="B19" s="12" t="s">
        <v>18</v>
      </c>
      <c r="C19" s="12">
        <v>7.2</v>
      </c>
      <c r="D19" s="12">
        <v>2.8</v>
      </c>
      <c r="E19" s="15">
        <f t="shared" si="0"/>
        <v>2.5714285714285716</v>
      </c>
      <c r="F19" s="15"/>
    </row>
    <row r="20" spans="1:6">
      <c r="A20" s="12" t="s">
        <v>41</v>
      </c>
      <c r="B20" s="12" t="s">
        <v>18</v>
      </c>
      <c r="C20" s="12">
        <v>4.5999999999999996</v>
      </c>
      <c r="D20" s="12">
        <v>1.1000000000000001</v>
      </c>
      <c r="E20" s="15">
        <f t="shared" si="0"/>
        <v>4.1818181818181808</v>
      </c>
      <c r="F20" s="15"/>
    </row>
    <row r="21" spans="1:6">
      <c r="A21" s="12" t="s">
        <v>42</v>
      </c>
      <c r="B21" s="12" t="s">
        <v>30</v>
      </c>
      <c r="C21" s="12">
        <v>4.2</v>
      </c>
      <c r="D21" s="12">
        <v>2.9</v>
      </c>
      <c r="E21" s="15">
        <f t="shared" si="0"/>
        <v>1.4482758620689655</v>
      </c>
      <c r="F21" s="15"/>
    </row>
    <row r="22" spans="1:6">
      <c r="A22" s="12" t="s">
        <v>43</v>
      </c>
      <c r="B22" s="12" t="s">
        <v>18</v>
      </c>
      <c r="C22" s="12">
        <v>4.8</v>
      </c>
      <c r="D22" s="12">
        <v>1.2</v>
      </c>
      <c r="E22" s="15">
        <f t="shared" si="0"/>
        <v>4</v>
      </c>
      <c r="F22" s="15"/>
    </row>
    <row r="23" spans="1:6">
      <c r="A23" s="12" t="s">
        <v>44</v>
      </c>
      <c r="B23" s="12" t="s">
        <v>39</v>
      </c>
      <c r="C23" s="12">
        <v>3.7</v>
      </c>
      <c r="D23" s="12">
        <v>3.8</v>
      </c>
      <c r="E23" s="15">
        <f t="shared" si="0"/>
        <v>0.97368421052631593</v>
      </c>
      <c r="F23" s="15"/>
    </row>
    <row r="24" spans="1:6">
      <c r="A24" s="12" t="s">
        <v>45</v>
      </c>
      <c r="B24" s="12" t="s">
        <v>15</v>
      </c>
      <c r="C24" s="12">
        <v>6.3</v>
      </c>
      <c r="D24" s="12">
        <v>5</v>
      </c>
      <c r="E24" s="15">
        <f t="shared" si="0"/>
        <v>1.26</v>
      </c>
      <c r="F24" s="15"/>
    </row>
    <row r="25" spans="1:6">
      <c r="A25" s="12" t="s">
        <v>46</v>
      </c>
      <c r="B25" s="12" t="s">
        <v>15</v>
      </c>
      <c r="C25" s="12">
        <v>6.9</v>
      </c>
      <c r="D25" s="12">
        <v>18.5</v>
      </c>
      <c r="E25" s="15">
        <f t="shared" si="0"/>
        <v>0.37297297297297299</v>
      </c>
      <c r="F25" s="15"/>
    </row>
    <row r="26" spans="1:6">
      <c r="A26" s="12" t="s">
        <v>5</v>
      </c>
      <c r="B26" s="12" t="s">
        <v>39</v>
      </c>
      <c r="C26" s="12">
        <v>2.4</v>
      </c>
      <c r="D26" s="12">
        <v>2.9</v>
      </c>
      <c r="E26" s="15">
        <f t="shared" si="0"/>
        <v>0.82758620689655171</v>
      </c>
      <c r="F26" s="15"/>
    </row>
    <row r="27" spans="1:6">
      <c r="A27" s="12" t="s">
        <v>2</v>
      </c>
      <c r="B27" s="12" t="s">
        <v>30</v>
      </c>
      <c r="C27" s="12">
        <v>1.7</v>
      </c>
      <c r="D27" s="12">
        <v>1.5</v>
      </c>
      <c r="E27" s="15">
        <f t="shared" si="0"/>
        <v>1.1333333333333333</v>
      </c>
      <c r="F27" s="15"/>
    </row>
    <row r="28" spans="1:6">
      <c r="A28" s="12" t="s">
        <v>47</v>
      </c>
      <c r="B28" s="12" t="s">
        <v>18</v>
      </c>
      <c r="C28" s="12">
        <v>4</v>
      </c>
      <c r="D28" s="12">
        <v>1.4</v>
      </c>
      <c r="E28" s="15">
        <f t="shared" si="0"/>
        <v>2.8571428571428572</v>
      </c>
      <c r="F28" s="15"/>
    </row>
    <row r="29" spans="1:6">
      <c r="A29" s="12" t="s">
        <v>49</v>
      </c>
      <c r="B29" s="12" t="s">
        <v>15</v>
      </c>
      <c r="C29" s="12">
        <v>3.7</v>
      </c>
      <c r="D29" s="12">
        <v>3.1</v>
      </c>
      <c r="E29" s="15">
        <f t="shared" si="0"/>
        <v>1.1935483870967742</v>
      </c>
      <c r="F29" s="15"/>
    </row>
  </sheetData>
  <conditionalFormatting sqref="E2:E29">
    <cfRule type="top10" dxfId="6" priority="2" bottom="1" rank="3"/>
    <cfRule type="top10" dxfId="5" priority="3" rank="3"/>
  </conditionalFormatting>
  <conditionalFormatting sqref="F3:F29">
    <cfRule type="cellIs" dxfId="4" priority="1" operator="greaterThan">
      <formula>$E$2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B3CC-6D15-4E12-829C-7353FF43C10D}">
  <dimension ref="A1:N32"/>
  <sheetViews>
    <sheetView workbookViewId="0">
      <selection activeCell="G27" sqref="G27"/>
    </sheetView>
  </sheetViews>
  <sheetFormatPr defaultColWidth="8.85546875" defaultRowHeight="11.25"/>
  <cols>
    <col min="1" max="1" width="8.85546875" style="12"/>
    <col min="2" max="2" width="11" style="12" bestFit="1" customWidth="1"/>
    <col min="3" max="12" width="8.85546875" style="12"/>
    <col min="13" max="13" width="10.28515625" style="12" bestFit="1" customWidth="1"/>
    <col min="14" max="16384" width="8.85546875" style="12"/>
  </cols>
  <sheetData>
    <row r="1" spans="1:14">
      <c r="A1" s="12" t="s">
        <v>135</v>
      </c>
    </row>
    <row r="2" spans="1:14">
      <c r="B2" s="13" t="s">
        <v>79</v>
      </c>
      <c r="C2" s="13" t="s">
        <v>80</v>
      </c>
    </row>
    <row r="3" spans="1:14">
      <c r="A3" s="12" t="s">
        <v>136</v>
      </c>
      <c r="B3" s="14">
        <v>2662</v>
      </c>
      <c r="C3" s="15">
        <f>B3/B5*100</f>
        <v>68.892339544513462</v>
      </c>
    </row>
    <row r="4" spans="1:14">
      <c r="A4" s="12" t="s">
        <v>137</v>
      </c>
      <c r="B4" s="14">
        <v>1202</v>
      </c>
      <c r="C4" s="15">
        <f>B4/B5*100</f>
        <v>31.107660455486542</v>
      </c>
    </row>
    <row r="5" spans="1:14">
      <c r="A5" s="12" t="s">
        <v>51</v>
      </c>
      <c r="B5" s="14">
        <f>SUM(B3:B4)</f>
        <v>3864</v>
      </c>
      <c r="C5" s="15">
        <f>SUM(C3:C4)</f>
        <v>100</v>
      </c>
    </row>
    <row r="7" spans="1:14">
      <c r="A7" s="12" t="s">
        <v>138</v>
      </c>
    </row>
    <row r="8" spans="1:14">
      <c r="B8" s="13">
        <v>2013</v>
      </c>
      <c r="C8" s="13">
        <v>2014</v>
      </c>
      <c r="D8" s="13">
        <v>2015</v>
      </c>
      <c r="E8" s="13">
        <v>2016</v>
      </c>
      <c r="F8" s="13">
        <v>2017</v>
      </c>
      <c r="G8" s="13">
        <v>2018</v>
      </c>
      <c r="H8" s="13">
        <v>2019</v>
      </c>
      <c r="I8" s="13">
        <v>2020</v>
      </c>
      <c r="J8" s="13">
        <v>2021</v>
      </c>
      <c r="K8" s="13">
        <v>2022</v>
      </c>
      <c r="L8" s="13">
        <v>2023</v>
      </c>
      <c r="M8" s="12" t="s">
        <v>139</v>
      </c>
      <c r="N8" s="12" t="s">
        <v>140</v>
      </c>
    </row>
    <row r="9" spans="1:14">
      <c r="A9" s="12" t="s">
        <v>136</v>
      </c>
      <c r="B9" s="16">
        <v>2881</v>
      </c>
      <c r="C9" s="16">
        <v>2992</v>
      </c>
      <c r="D9" s="16">
        <v>2902</v>
      </c>
      <c r="E9" s="16">
        <v>3005</v>
      </c>
      <c r="F9" s="16">
        <v>3288</v>
      </c>
      <c r="G9" s="16">
        <v>3070</v>
      </c>
      <c r="H9" s="16">
        <v>2468</v>
      </c>
      <c r="I9" s="16">
        <v>2585</v>
      </c>
      <c r="J9" s="16">
        <v>2601</v>
      </c>
      <c r="K9" s="16">
        <v>2526</v>
      </c>
      <c r="L9" s="16">
        <v>2662</v>
      </c>
      <c r="M9" s="16">
        <f>SUM(B9:L9)</f>
        <v>30980</v>
      </c>
      <c r="N9" s="15">
        <f>M9/M11*100</f>
        <v>67.102755155085774</v>
      </c>
    </row>
    <row r="10" spans="1:14">
      <c r="A10" s="12" t="s">
        <v>137</v>
      </c>
      <c r="B10" s="16">
        <v>1641</v>
      </c>
      <c r="C10" s="16">
        <v>1620</v>
      </c>
      <c r="D10" s="16">
        <v>1539</v>
      </c>
      <c r="E10" s="16">
        <v>1488</v>
      </c>
      <c r="F10" s="16">
        <v>1544</v>
      </c>
      <c r="G10" s="16">
        <v>1358</v>
      </c>
      <c r="H10" s="16">
        <v>1196</v>
      </c>
      <c r="I10" s="16">
        <v>1182</v>
      </c>
      <c r="J10" s="16">
        <v>1191</v>
      </c>
      <c r="K10" s="16">
        <v>1227</v>
      </c>
      <c r="L10" s="16">
        <v>1202</v>
      </c>
      <c r="M10" s="16">
        <f>SUM(B10:L10)</f>
        <v>15188</v>
      </c>
      <c r="N10" s="15">
        <f>M10/M11*100</f>
        <v>32.897244844914226</v>
      </c>
    </row>
    <row r="11" spans="1:14">
      <c r="A11" s="12" t="s">
        <v>51</v>
      </c>
      <c r="B11" s="16">
        <f>SUM(B9:B10)</f>
        <v>4522</v>
      </c>
      <c r="C11" s="16">
        <f t="shared" ref="C11:L11" si="0">SUM(C9:C10)</f>
        <v>4612</v>
      </c>
      <c r="D11" s="16">
        <f t="shared" si="0"/>
        <v>4441</v>
      </c>
      <c r="E11" s="16">
        <f t="shared" si="0"/>
        <v>4493</v>
      </c>
      <c r="F11" s="16">
        <f t="shared" si="0"/>
        <v>4832</v>
      </c>
      <c r="G11" s="16">
        <f t="shared" si="0"/>
        <v>4428</v>
      </c>
      <c r="H11" s="16">
        <f t="shared" si="0"/>
        <v>3664</v>
      </c>
      <c r="I11" s="16">
        <f t="shared" si="0"/>
        <v>3767</v>
      </c>
      <c r="J11" s="16">
        <f t="shared" si="0"/>
        <v>3792</v>
      </c>
      <c r="K11" s="16">
        <f t="shared" si="0"/>
        <v>3753</v>
      </c>
      <c r="L11" s="16">
        <f t="shared" si="0"/>
        <v>3864</v>
      </c>
      <c r="M11" s="16">
        <f>SUM(B11:L11)</f>
        <v>46168</v>
      </c>
      <c r="N11" s="15">
        <f>SUM(N9:N10)</f>
        <v>100</v>
      </c>
    </row>
    <row r="13" spans="1:14">
      <c r="A13" s="12" t="s">
        <v>141</v>
      </c>
    </row>
    <row r="14" spans="1:14">
      <c r="B14" s="13">
        <v>2013</v>
      </c>
      <c r="C14" s="13">
        <v>2014</v>
      </c>
      <c r="D14" s="13">
        <v>2015</v>
      </c>
      <c r="E14" s="13">
        <v>2016</v>
      </c>
      <c r="F14" s="13">
        <v>2017</v>
      </c>
      <c r="G14" s="13">
        <v>2018</v>
      </c>
      <c r="H14" s="13">
        <v>2019</v>
      </c>
      <c r="I14" s="13">
        <v>2020</v>
      </c>
      <c r="J14" s="13">
        <v>2021</v>
      </c>
      <c r="K14" s="13">
        <v>2022</v>
      </c>
      <c r="L14" s="13">
        <v>2023</v>
      </c>
    </row>
    <row r="15" spans="1:14">
      <c r="A15" s="12" t="s">
        <v>136</v>
      </c>
      <c r="B15" s="14">
        <v>5.4</v>
      </c>
      <c r="C15" s="14">
        <v>5.6</v>
      </c>
      <c r="D15" s="14">
        <v>5.3</v>
      </c>
      <c r="E15" s="14">
        <v>5.3</v>
      </c>
      <c r="F15" s="14">
        <v>5.7</v>
      </c>
      <c r="G15" s="14">
        <v>5.2</v>
      </c>
      <c r="H15" s="14">
        <v>4.0999999999999996</v>
      </c>
      <c r="I15" s="14">
        <v>4.3</v>
      </c>
      <c r="J15" s="14">
        <v>4.3</v>
      </c>
      <c r="K15" s="14">
        <v>4.2</v>
      </c>
      <c r="L15" s="14">
        <v>4.3</v>
      </c>
      <c r="M15" s="16"/>
    </row>
    <row r="16" spans="1:14">
      <c r="A16" s="12" t="s">
        <v>137</v>
      </c>
      <c r="B16" s="16">
        <v>3.4</v>
      </c>
      <c r="C16" s="16">
        <v>3.3</v>
      </c>
      <c r="D16" s="16">
        <v>3.2</v>
      </c>
      <c r="E16" s="16">
        <v>3.1</v>
      </c>
      <c r="F16" s="16">
        <v>3.3</v>
      </c>
      <c r="G16" s="16">
        <v>2.9</v>
      </c>
      <c r="H16" s="16">
        <v>2.6</v>
      </c>
      <c r="I16" s="16">
        <v>2.5</v>
      </c>
      <c r="J16" s="16">
        <v>2.5</v>
      </c>
      <c r="K16" s="16">
        <v>2.5</v>
      </c>
      <c r="L16" s="16">
        <v>2.5</v>
      </c>
      <c r="M16" s="16"/>
    </row>
    <row r="17" spans="1:14">
      <c r="A17" s="12" t="s">
        <v>127</v>
      </c>
      <c r="B17" s="14">
        <f>B15/B16</f>
        <v>1.5882352941176472</v>
      </c>
      <c r="C17" s="14">
        <f t="shared" ref="C17:L17" si="1">C15/C16</f>
        <v>1.696969696969697</v>
      </c>
      <c r="D17" s="14">
        <f t="shared" si="1"/>
        <v>1.6562499999999998</v>
      </c>
      <c r="E17" s="14">
        <f t="shared" si="1"/>
        <v>1.7096774193548385</v>
      </c>
      <c r="F17" s="14">
        <f t="shared" si="1"/>
        <v>1.7272727272727275</v>
      </c>
      <c r="G17" s="14">
        <f t="shared" si="1"/>
        <v>1.7931034482758621</v>
      </c>
      <c r="H17" s="14">
        <f t="shared" si="1"/>
        <v>1.5769230769230766</v>
      </c>
      <c r="I17" s="14">
        <f t="shared" si="1"/>
        <v>1.72</v>
      </c>
      <c r="J17" s="14">
        <f t="shared" si="1"/>
        <v>1.72</v>
      </c>
      <c r="K17" s="14">
        <f t="shared" si="1"/>
        <v>1.6800000000000002</v>
      </c>
      <c r="L17" s="14">
        <f t="shared" si="1"/>
        <v>1.72</v>
      </c>
      <c r="M17" s="16"/>
    </row>
    <row r="32" spans="1:14">
      <c r="N32" s="15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3CE6-E1A2-4943-9B5C-690AD2F53C17}">
  <dimension ref="A1:M15"/>
  <sheetViews>
    <sheetView zoomScale="80" zoomScaleNormal="80" workbookViewId="0">
      <selection activeCell="A24" sqref="A24"/>
    </sheetView>
  </sheetViews>
  <sheetFormatPr defaultRowHeight="15"/>
  <cols>
    <col min="1" max="1" width="59.5703125" customWidth="1"/>
  </cols>
  <sheetData>
    <row r="1" spans="1:13">
      <c r="A1" t="s">
        <v>142</v>
      </c>
    </row>
    <row r="2" spans="1:13" ht="15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ht="15.75">
      <c r="A3" s="5"/>
      <c r="B3" s="6">
        <v>2013</v>
      </c>
      <c r="C3" s="6">
        <v>2014</v>
      </c>
      <c r="D3" s="6">
        <v>2015</v>
      </c>
      <c r="E3" s="6">
        <v>2016</v>
      </c>
      <c r="F3" s="6">
        <v>2017</v>
      </c>
      <c r="G3" s="6">
        <v>2018</v>
      </c>
      <c r="H3" s="6">
        <v>2019</v>
      </c>
      <c r="I3" s="6">
        <v>2020</v>
      </c>
      <c r="J3" s="6">
        <v>2021</v>
      </c>
      <c r="K3" s="6">
        <v>2022</v>
      </c>
      <c r="L3" s="6">
        <v>2023</v>
      </c>
      <c r="M3" t="s">
        <v>143</v>
      </c>
    </row>
    <row r="4" spans="1:13" ht="15.75">
      <c r="A4" s="5" t="s">
        <v>144</v>
      </c>
      <c r="B4" s="7">
        <v>1.19</v>
      </c>
      <c r="C4" s="7">
        <v>1.25</v>
      </c>
      <c r="D4" s="7">
        <v>1.25</v>
      </c>
      <c r="E4" s="7">
        <v>1.28</v>
      </c>
      <c r="F4" s="7">
        <v>1.37</v>
      </c>
      <c r="G4" s="7">
        <v>1.29</v>
      </c>
      <c r="H4" s="7">
        <v>1.1599999999999999</v>
      </c>
      <c r="I4" s="7">
        <v>1.17</v>
      </c>
      <c r="J4" s="7">
        <v>1.1499999999999999</v>
      </c>
      <c r="K4" s="7">
        <v>1.2</v>
      </c>
      <c r="L4" s="7">
        <v>1.24</v>
      </c>
      <c r="M4" s="1">
        <f>(L4/B4-1)*100</f>
        <v>4.2016806722689148</v>
      </c>
    </row>
    <row r="5" spans="1:13" ht="15.75">
      <c r="A5" s="5" t="s">
        <v>145</v>
      </c>
      <c r="B5" s="7">
        <v>3.49</v>
      </c>
      <c r="C5" s="7">
        <v>3.46</v>
      </c>
      <c r="D5" s="7">
        <v>3.21</v>
      </c>
      <c r="E5" s="7">
        <v>3.17</v>
      </c>
      <c r="F5" s="7">
        <v>3.31</v>
      </c>
      <c r="G5" s="7">
        <v>2.96</v>
      </c>
      <c r="H5" s="7">
        <v>2.33</v>
      </c>
      <c r="I5" s="7">
        <v>2.39</v>
      </c>
      <c r="J5" s="7">
        <v>2.4</v>
      </c>
      <c r="K5" s="7">
        <v>2.2799999999999998</v>
      </c>
      <c r="L5" s="7">
        <v>2.2999999999999998</v>
      </c>
      <c r="M5" s="1">
        <f>(L5/B5-1)*100</f>
        <v>-34.097421203438408</v>
      </c>
    </row>
    <row r="6" spans="1:13" ht="15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5.75">
      <c r="A7" s="5" t="s">
        <v>146</v>
      </c>
      <c r="B7" s="8">
        <f>B4/(B4+B5)</f>
        <v>0.25427350427350426</v>
      </c>
      <c r="C7" s="8">
        <f t="shared" ref="C7:K7" si="0">C4/(C4+C5)</f>
        <v>0.26539278131634819</v>
      </c>
      <c r="D7" s="8">
        <f t="shared" si="0"/>
        <v>0.2802690582959641</v>
      </c>
      <c r="E7" s="8">
        <f t="shared" si="0"/>
        <v>0.28764044943820222</v>
      </c>
      <c r="F7" s="8">
        <f t="shared" si="0"/>
        <v>0.29273504273504275</v>
      </c>
      <c r="G7" s="8">
        <f t="shared" si="0"/>
        <v>0.30352941176470588</v>
      </c>
      <c r="H7" s="8">
        <f t="shared" si="0"/>
        <v>0.33237822349570195</v>
      </c>
      <c r="I7" s="8">
        <f t="shared" si="0"/>
        <v>0.3286516853932584</v>
      </c>
      <c r="J7" s="8">
        <f t="shared" si="0"/>
        <v>0.323943661971831</v>
      </c>
      <c r="K7" s="8">
        <f t="shared" si="0"/>
        <v>0.34482758620689657</v>
      </c>
      <c r="L7" s="8">
        <f>L4/(L4+L5)</f>
        <v>0.35028248587570621</v>
      </c>
    </row>
    <row r="8" spans="1:13" ht="15.75">
      <c r="A8" s="5" t="s">
        <v>147</v>
      </c>
      <c r="B8" s="8">
        <v>9.3678280826204885E-2</v>
      </c>
      <c r="C8" s="8">
        <v>0.21884570082449942</v>
      </c>
      <c r="D8" s="8">
        <v>0.23595258999122037</v>
      </c>
      <c r="E8" s="8">
        <v>0.28317972350230414</v>
      </c>
      <c r="F8" s="8">
        <v>0.33535047907211296</v>
      </c>
      <c r="G8" s="8">
        <v>0.33858464616154038</v>
      </c>
      <c r="H8" s="8">
        <v>0.33972257250945775</v>
      </c>
      <c r="L8" s="5"/>
    </row>
    <row r="9" spans="1:13" ht="15.75">
      <c r="A9" s="5"/>
      <c r="B9" s="8"/>
      <c r="C9" s="8"/>
      <c r="D9" s="8"/>
      <c r="E9" s="8"/>
      <c r="F9" s="8"/>
      <c r="G9" s="8"/>
      <c r="H9" s="8"/>
      <c r="L9" s="5"/>
    </row>
    <row r="10" spans="1:13" ht="15.6" customHeight="1">
      <c r="A10" s="59" t="s">
        <v>148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</row>
    <row r="11" spans="1:13" ht="15.6" customHeight="1">
      <c r="A11" s="5" t="s">
        <v>144</v>
      </c>
      <c r="B11" s="11" t="s">
        <v>71</v>
      </c>
      <c r="C11" s="10">
        <f>(C4/B4-1)*100</f>
        <v>5.0420168067226934</v>
      </c>
      <c r="D11" s="10">
        <f t="shared" ref="D11:L11" si="1">(D4/C4-1)*100</f>
        <v>0</v>
      </c>
      <c r="E11" s="10">
        <f t="shared" si="1"/>
        <v>2.4000000000000021</v>
      </c>
      <c r="F11" s="10">
        <f t="shared" si="1"/>
        <v>7.03125</v>
      </c>
      <c r="G11" s="10">
        <f t="shared" si="1"/>
        <v>-5.8394160583941641</v>
      </c>
      <c r="H11" s="10">
        <f t="shared" si="1"/>
        <v>-10.077519379844968</v>
      </c>
      <c r="I11" s="10">
        <f t="shared" si="1"/>
        <v>0.86206896551723755</v>
      </c>
      <c r="J11" s="10">
        <f t="shared" si="1"/>
        <v>-1.7094017094017144</v>
      </c>
      <c r="K11" s="10">
        <f t="shared" si="1"/>
        <v>4.3478260869565188</v>
      </c>
      <c r="L11" s="10">
        <f t="shared" si="1"/>
        <v>3.3333333333333437</v>
      </c>
    </row>
    <row r="12" spans="1:13" ht="15.6" customHeight="1">
      <c r="A12" s="5" t="s">
        <v>145</v>
      </c>
      <c r="B12" s="11" t="s">
        <v>71</v>
      </c>
      <c r="C12" s="10">
        <f>(C5/B5-1)*100</f>
        <v>-0.85959885386820423</v>
      </c>
      <c r="D12" s="10">
        <f t="shared" ref="D12:L12" si="2">(D5/C5-1)*100</f>
        <v>-7.2254335260115603</v>
      </c>
      <c r="E12" s="10">
        <f t="shared" si="2"/>
        <v>-1.2461059190031154</v>
      </c>
      <c r="F12" s="10">
        <f t="shared" si="2"/>
        <v>4.4164037854889537</v>
      </c>
      <c r="G12" s="10">
        <f t="shared" si="2"/>
        <v>-10.574018126888218</v>
      </c>
      <c r="H12" s="10">
        <f t="shared" si="2"/>
        <v>-21.283783783783782</v>
      </c>
      <c r="I12" s="10">
        <f t="shared" si="2"/>
        <v>2.5751072961373467</v>
      </c>
      <c r="J12" s="10">
        <f t="shared" si="2"/>
        <v>0.41841004184099972</v>
      </c>
      <c r="K12" s="10">
        <f t="shared" si="2"/>
        <v>-5.0000000000000044</v>
      </c>
      <c r="L12" s="10">
        <f t="shared" si="2"/>
        <v>0.87719298245614308</v>
      </c>
    </row>
    <row r="13" spans="1:13" ht="15.6" customHeight="1">
      <c r="A13" s="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3" ht="15.6" customHeight="1"/>
    <row r="15" spans="1:13" ht="15.6" customHeight="1"/>
  </sheetData>
  <mergeCells count="1">
    <mergeCell ref="A10:L10"/>
  </mergeCells>
  <conditionalFormatting sqref="C11:L11">
    <cfRule type="top10" dxfId="3" priority="3" bottom="1" rank="1"/>
    <cfRule type="top10" dxfId="2" priority="4" rank="1"/>
  </conditionalFormatting>
  <conditionalFormatting sqref="C12:L12">
    <cfRule type="top10" dxfId="1" priority="1" bottom="1" rank="1"/>
    <cfRule type="top10" dxfId="0" priority="2" rank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67be9-ad7b-4bef-b792-2afd30182724" xsi:nil="true"/>
    <lcf76f155ced4ddcb4097134ff3c332f xmlns="c6aa8d14-b559-4fd0-8a99-b4b34e4a74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B035B3EC2014DA1EA6F37AC058244" ma:contentTypeVersion="15" ma:contentTypeDescription="Crie um novo documento." ma:contentTypeScope="" ma:versionID="2b0cd9750b1ca6a220d2cf2abf315dda">
  <xsd:schema xmlns:xsd="http://www.w3.org/2001/XMLSchema" xmlns:xs="http://www.w3.org/2001/XMLSchema" xmlns:p="http://schemas.microsoft.com/office/2006/metadata/properties" xmlns:ns2="c6aa8d14-b559-4fd0-8a99-b4b34e4a7433" xmlns:ns3="dc367be9-ad7b-4bef-b792-2afd30182724" targetNamespace="http://schemas.microsoft.com/office/2006/metadata/properties" ma:root="true" ma:fieldsID="358449b7a09cafd9127b41040257ec84" ns2:_="" ns3:_="">
    <xsd:import namespace="c6aa8d14-b559-4fd0-8a99-b4b34e4a7433"/>
    <xsd:import namespace="dc367be9-ad7b-4bef-b792-2afd301827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8d14-b559-4fd0-8a99-b4b34e4a7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488cab7-bb12-4270-a718-8dac130be8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67be9-ad7b-4bef-b792-2afd3018272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1a4802-1d2e-4757-8bd7-ed977678ae4e}" ma:internalName="TaxCatchAll" ma:showField="CatchAllData" ma:web="dc367be9-ad7b-4bef-b792-2afd301827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453409-F354-4ECC-8174-4169EEA89121}"/>
</file>

<file path=customXml/itemProps2.xml><?xml version="1.0" encoding="utf-8"?>
<ds:datastoreItem xmlns:ds="http://schemas.openxmlformats.org/officeDocument/2006/customXml" ds:itemID="{5DED0872-8544-4586-B9E0-428352729881}"/>
</file>

<file path=customXml/itemProps3.xml><?xml version="1.0" encoding="utf-8"?>
<ds:datastoreItem xmlns:ds="http://schemas.openxmlformats.org/officeDocument/2006/customXml" ds:itemID="{F4FC8931-0781-46B8-B9D3-9BF4C5E5F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Silva Matosinhos</dc:creator>
  <cp:keywords/>
  <dc:description/>
  <cp:lastModifiedBy>Samira Bueno</cp:lastModifiedBy>
  <cp:revision/>
  <dcterms:created xsi:type="dcterms:W3CDTF">2025-04-03T22:30:15Z</dcterms:created>
  <dcterms:modified xsi:type="dcterms:W3CDTF">2025-04-22T10:12:05Z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0x01010018CB035B3EC2014DA1EA6F37AC058244</vt:lpwstr>
  </property>
  <property fmtid="{D5CDD505-2E9C-101B-9397-08002B2CF9AE}" pid="3" name="MediaServiceImageTags">
    <vt:lpwstr/>
  </property>
</Properties>
</file>