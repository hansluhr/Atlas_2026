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Pcd_Lgbt\"/>
    </mc:Choice>
  </mc:AlternateContent>
  <xr:revisionPtr revIDLastSave="0" documentId="13_ncr:1_{FCB663DF-BEAF-4580-8071-9E3873159F54}" xr6:coauthVersionLast="47" xr6:coauthVersionMax="47" xr10:uidLastSave="{00000000-0000-0000-0000-000000000000}"/>
  <bookViews>
    <workbookView xWindow="-120" yWindow="-120" windowWidth="29040" windowHeight="15720" tabRatio="885" firstSheet="3" activeTab="3" xr2:uid="{00000000-000D-0000-FFFF-FFFF00000000}"/>
  </bookViews>
  <sheets>
    <sheet name="Características vitima - 2018" sheetId="1" state="hidden" r:id="rId1"/>
    <sheet name="Características vitima - 2019" sheetId="2" state="hidden" r:id="rId2"/>
    <sheet name="Características vitima - 2020" sheetId="15" state="hidden" r:id="rId3"/>
    <sheet name="Perfil vitima Atlas 2025" sheetId="16" r:id="rId4"/>
    <sheet name="Homo + bi vitimas de viol" sheetId="9" r:id="rId5"/>
    <sheet name="Orientação - faixa etária" sheetId="13" r:id="rId6"/>
    <sheet name="Identidade - faixa etária" sheetId="14" r:id="rId7"/>
    <sheet name="Orientação-cor" sheetId="11" r:id="rId8"/>
    <sheet name="identidade-cor" sheetId="12" r:id="rId9"/>
    <sheet name="Gráfico 7.4A trans" sheetId="10" r:id="rId10"/>
    <sheet name="Homossexuais" sheetId="3" r:id="rId11"/>
    <sheet name="Gráfico 23 - Bissexuais" sheetId="4" r:id="rId12"/>
    <sheet name="Gráfico 24 - V. Física" sheetId="5" r:id="rId13"/>
    <sheet name="Gráfico 24 - V. Psicológica" sheetId="6" r:id="rId14"/>
    <sheet name="Gráfico 24 - Tortura" sheetId="7" r:id="rId15"/>
    <sheet name="Gráfico 24 - Outros" sheetId="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8" l="1"/>
  <c r="G5" i="8"/>
  <c r="F5" i="8"/>
  <c r="H5" i="7"/>
  <c r="G5" i="7"/>
  <c r="F5" i="7"/>
  <c r="H5" i="6"/>
  <c r="G5" i="6"/>
  <c r="F5" i="6"/>
  <c r="G5" i="5"/>
  <c r="F5" i="5"/>
  <c r="E5" i="5"/>
  <c r="H5" i="4"/>
  <c r="G5" i="4"/>
  <c r="F5" i="4"/>
  <c r="H5" i="3"/>
  <c r="G5" i="3"/>
  <c r="F5" i="3"/>
  <c r="C19" i="11" l="1"/>
  <c r="D19" i="11"/>
  <c r="E19" i="11"/>
  <c r="B19" i="11"/>
  <c r="C18" i="11"/>
  <c r="D18" i="11"/>
  <c r="E18" i="11"/>
  <c r="B18" i="11"/>
  <c r="C17" i="11"/>
  <c r="D17" i="11"/>
  <c r="E17" i="11"/>
  <c r="B17" i="11"/>
  <c r="C15" i="11"/>
  <c r="D15" i="11"/>
  <c r="E15" i="11"/>
  <c r="B15" i="11"/>
  <c r="C15" i="12" l="1"/>
  <c r="D15" i="12"/>
  <c r="B15" i="12"/>
  <c r="B16" i="12"/>
  <c r="C16" i="12"/>
  <c r="D16" i="12"/>
  <c r="B17" i="12"/>
  <c r="C17" i="12"/>
  <c r="D17" i="12"/>
  <c r="B18" i="12"/>
  <c r="C18" i="12"/>
  <c r="D18" i="12"/>
  <c r="C14" i="12"/>
  <c r="D14" i="12"/>
  <c r="B14" i="12"/>
  <c r="C16" i="11"/>
  <c r="D16" i="11"/>
  <c r="E16" i="11"/>
  <c r="B1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H5" authorId="0" shapeId="0" xr:uid="{CADAD120-BBD0-43F2-B518-DC52C7C9D77E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X% das notificações contra homo e bi são anotadas em homo.</t>
        </r>
      </text>
    </comment>
    <comment ref="E7" authorId="0" shapeId="0" xr:uid="{019B58E6-6F8F-40B8-8EDF-6DC644993C26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Pardos representam x% das notificações homo e bi.</t>
        </r>
      </text>
    </comment>
    <comment ref="H42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X% das notificações contra homo e bi são anotadas em homo.</t>
        </r>
      </text>
    </comment>
    <comment ref="E44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Pardos representam x% das notificações homo e bi.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Lins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Colocar informações aqui.
A soma é realizada na tabela seguinte.</t>
        </r>
      </text>
    </comment>
    <comment ref="A1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Aqui soma preto + pardo
Dos Heteros x% são brancos
Homos y% são Negros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Lins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Colar informações aqui.
Somatório preto+parto é feito na tabela seguinte.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Lins</author>
  </authors>
  <commentList>
    <comment ref="B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Municípios conhecidos
</t>
        </r>
      </text>
    </comment>
  </commentList>
</comments>
</file>

<file path=xl/sharedStrings.xml><?xml version="1.0" encoding="utf-8"?>
<sst xmlns="http://schemas.openxmlformats.org/spreadsheetml/2006/main" count="598" uniqueCount="183">
  <si>
    <t>Branco</t>
  </si>
  <si>
    <t>Preto</t>
  </si>
  <si>
    <t>Amarelo</t>
  </si>
  <si>
    <t>Pardo</t>
  </si>
  <si>
    <t>Indígena</t>
  </si>
  <si>
    <t>Ignorado</t>
  </si>
  <si>
    <t>Total</t>
  </si>
  <si>
    <t>Homossexual (gay/lésb</t>
  </si>
  <si>
    <t>Bissexual</t>
  </si>
  <si>
    <t>Raça por orientação sexual da vítima</t>
  </si>
  <si>
    <t>Masculino</t>
  </si>
  <si>
    <t>Feminino</t>
  </si>
  <si>
    <t>Ambos os</t>
  </si>
  <si>
    <t>Sexo do autor da violência segundo orientação sexual da vítima</t>
  </si>
  <si>
    <t>Situação conjugal segundo orientação sexual da vítima</t>
  </si>
  <si>
    <t>Solteiro</t>
  </si>
  <si>
    <t>Viúvo</t>
  </si>
  <si>
    <t>Separado</t>
  </si>
  <si>
    <t>Sexo da vítima segundo orientação sexual</t>
  </si>
  <si>
    <t>F</t>
  </si>
  <si>
    <t>I</t>
  </si>
  <si>
    <t>M</t>
  </si>
  <si>
    <t>ZONA</t>
  </si>
  <si>
    <t>Zona de residência segundo orientação sexual da vítima</t>
  </si>
  <si>
    <t>Urbana</t>
  </si>
  <si>
    <t>Rural</t>
  </si>
  <si>
    <t>Periurbana</t>
  </si>
  <si>
    <t>Bruto</t>
  </si>
  <si>
    <t>Mesmo Município</t>
  </si>
  <si>
    <t>Mesma Unidade</t>
  </si>
  <si>
    <t>Sem agressão autoprovocada</t>
  </si>
  <si>
    <t>Casado\União consensual</t>
  </si>
  <si>
    <t>Não se Aplica</t>
  </si>
  <si>
    <t>Homossexuais e Bissexuais</t>
  </si>
  <si>
    <t>Homossexuais</t>
  </si>
  <si>
    <t>Bissexuais</t>
  </si>
  <si>
    <t>Número total de casos de violência contra homossexuais e bissexuais</t>
  </si>
  <si>
    <t>Número total de casos de violência contra pessoas trans e travestis</t>
  </si>
  <si>
    <t>Travesti</t>
  </si>
  <si>
    <t>Homossexual</t>
  </si>
  <si>
    <t>Negro</t>
  </si>
  <si>
    <t>Heterossexual</t>
  </si>
  <si>
    <t>Trans Mulher</t>
  </si>
  <si>
    <t>Trans Homem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</si>
  <si>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</si>
  <si>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</si>
  <si>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</si>
  <si>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</si>
  <si>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</si>
  <si>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</si>
  <si>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</si>
  <si>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</si>
  <si>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</si>
  <si>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</si>
  <si>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</si>
  <si>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</si>
  <si>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</si>
  <si>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</si>
  <si>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ou mais</t>
  </si>
  <si>
    <t>Transexual Mulher</t>
  </si>
  <si>
    <t>Transexual Homem</t>
  </si>
  <si>
    <t>100.00</t>
  </si>
  <si>
    <t>2.04</t>
  </si>
  <si>
    <t>16.71</t>
  </si>
  <si>
    <t>31.94%</t>
  </si>
  <si>
    <t>8.46%</t>
  </si>
  <si>
    <t>0.55%</t>
  </si>
  <si>
    <t>34.85%</t>
  </si>
  <si>
    <t>0.79%</t>
  </si>
  <si>
    <t>3.84%</t>
  </si>
  <si>
    <t>80.42%</t>
  </si>
  <si>
    <t>8.20%</t>
  </si>
  <si>
    <t>2.71%</t>
  </si>
  <si>
    <t>0.20%</t>
  </si>
  <si>
    <t>7.87%</t>
  </si>
  <si>
    <t>0.18%</t>
  </si>
  <si>
    <t>0.42%</t>
  </si>
  <si>
    <t>19.58%</t>
  </si>
  <si>
    <t>40.14%</t>
  </si>
  <si>
    <t>11.16%</t>
  </si>
  <si>
    <t>0.75%</t>
  </si>
  <si>
    <t>42.72%</t>
  </si>
  <si>
    <t>0.97%</t>
  </si>
  <si>
    <t>4.26%</t>
  </si>
  <si>
    <t>100.00%</t>
  </si>
  <si>
    <t>Ambos os sexos</t>
  </si>
  <si>
    <t>56.67</t>
  </si>
  <si>
    <t>16.55</t>
  </si>
  <si>
    <t>4.29</t>
  </si>
  <si>
    <t>2.92</t>
  </si>
  <si>
    <t>80.43</t>
  </si>
  <si>
    <t>15.06</t>
  </si>
  <si>
    <t>3.10</t>
  </si>
  <si>
    <t>0.91</t>
  </si>
  <si>
    <t>0.50</t>
  </si>
  <si>
    <t>19.57</t>
  </si>
  <si>
    <t>71.73</t>
  </si>
  <si>
    <t>19.65</t>
  </si>
  <si>
    <t>5.19</t>
  </si>
  <si>
    <t>3.42</t>
  </si>
  <si>
    <t>50.68</t>
  </si>
  <si>
    <t>20.22</t>
  </si>
  <si>
    <t>0.67</t>
  </si>
  <si>
    <t>2.02</t>
  </si>
  <si>
    <t>1.53</t>
  </si>
  <si>
    <t>5.22</t>
  </si>
  <si>
    <t>80.35</t>
  </si>
  <si>
    <t>15.90</t>
  </si>
  <si>
    <t>0.22</t>
  </si>
  <si>
    <t>0.75</t>
  </si>
  <si>
    <t>0.51</t>
  </si>
  <si>
    <t>66.59</t>
  </si>
  <si>
    <t>22.26</t>
  </si>
  <si>
    <t>0.90</t>
  </si>
  <si>
    <t>2.77</t>
  </si>
  <si>
    <t>1.75</t>
  </si>
  <si>
    <t>5.73</t>
  </si>
  <si>
    <t>48.48</t>
  </si>
  <si>
    <t>31.95</t>
  </si>
  <si>
    <t>2.86</t>
  </si>
  <si>
    <t>65.19</t>
  </si>
  <si>
    <t>34.81</t>
  </si>
  <si>
    <t>Homossexual (gay-lésbica)</t>
  </si>
  <si>
    <t>Cor\Raça</t>
  </si>
  <si>
    <t>Raça\Cor</t>
  </si>
  <si>
    <t>ano_not</t>
  </si>
  <si>
    <t xml:space="preserve">Pessoas Trans e Travestis </t>
  </si>
  <si>
    <t>A variável ZONA não aparece no microdado. Só conseguimos essa informação com o MS.</t>
  </si>
  <si>
    <t>Pode ocorrer do microdado final registrar número de notificações inferior ao microdado provisório.</t>
  </si>
  <si>
    <t>Microdado Final pode conter número inferior de registros que microdado provisório</t>
  </si>
  <si>
    <t>26.9</t>
  </si>
  <si>
    <t>9.5</t>
  </si>
  <si>
    <t>0.7</t>
  </si>
  <si>
    <t>32.9</t>
  </si>
  <si>
    <t>0.6</t>
  </si>
  <si>
    <t>1.6</t>
  </si>
  <si>
    <t>72.3</t>
  </si>
  <si>
    <t>11.5</t>
  </si>
  <si>
    <t>4.2</t>
  </si>
  <si>
    <t>0.3</t>
  </si>
  <si>
    <t>11.1</t>
  </si>
  <si>
    <t>0.2</t>
  </si>
  <si>
    <t>0.4</t>
  </si>
  <si>
    <t>27.7</t>
  </si>
  <si>
    <t>38.4</t>
  </si>
  <si>
    <t>13.7</t>
  </si>
  <si>
    <t>1.1</t>
  </si>
  <si>
    <t>44.0</t>
  </si>
  <si>
    <t>0.8</t>
  </si>
  <si>
    <t>2.1</t>
  </si>
  <si>
    <t>100.0</t>
  </si>
  <si>
    <t>49.0</t>
  </si>
  <si>
    <t>17.4</t>
  </si>
  <si>
    <t>3.6</t>
  </si>
  <si>
    <t>2.2</t>
  </si>
  <si>
    <t>21.1</t>
  </si>
  <si>
    <t>4.5</t>
  </si>
  <si>
    <t>1.5</t>
  </si>
  <si>
    <t>70.1</t>
  </si>
  <si>
    <t>21.9</t>
  </si>
  <si>
    <t>5.1</t>
  </si>
  <si>
    <t>2.8</t>
  </si>
  <si>
    <t>46.9</t>
  </si>
  <si>
    <t>17.2</t>
  </si>
  <si>
    <t>1.2</t>
  </si>
  <si>
    <t>4.0</t>
  </si>
  <si>
    <t>72.2</t>
  </si>
  <si>
    <t>22.7</t>
  </si>
  <si>
    <t>1.0</t>
  </si>
  <si>
    <t>27.8</t>
  </si>
  <si>
    <t>69.7</t>
  </si>
  <si>
    <t>19.9</t>
  </si>
  <si>
    <t>0.9</t>
  </si>
  <si>
    <t>3.2</t>
  </si>
  <si>
    <t>4.7</t>
  </si>
  <si>
    <t>43.7</t>
  </si>
  <si>
    <t>0.1</t>
  </si>
  <si>
    <t>28.5</t>
  </si>
  <si>
    <t>23.7</t>
  </si>
  <si>
    <t>0.0</t>
  </si>
  <si>
    <t>67.4</t>
  </si>
  <si>
    <t>32.5</t>
  </si>
  <si>
    <t>O microdado final registra número de notificações diferente ao microdado provisório.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</si>
</sst>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1" applyNumberFormat="1" applyFont="1"/>
    <xf numFmtId="2" fontId="0" fillId="0" borderId="0" xfId="0" applyNumberFormat="1"/>
    <xf numFmtId="43" fontId="0" fillId="0" borderId="0" xfId="2" applyFont="1"/>
    <xf numFmtId="1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0" fontId="0" fillId="3" borderId="0" xfId="0" applyFill="1"/>
    <xf numFmtId="165" fontId="0" fillId="0" borderId="0" xfId="2" applyNumberFormat="1" applyFont="1"/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'Homo + bi vitimas de viol'!$A$11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'Homo + bi vitimas de viol'!$B$2:$D$2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'Homo + bi vitimas de viol'!$B$11:$D$11</c:f>
              <c:numCache>
                <c:formatCode>General</c:formatCode>
                <c:ptCount val="3"/>
                <c:pt idx="0">
                  <c:v>7276</c:v>
                </c:pt>
                <c:pt idx="1">
                  <c:v>5299</c:v>
                </c:pt>
                <c:pt idx="2">
                  <c:v>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8-44E3-B26A-44E5D80B0EA5}"/>
            </c:ext>
          </c:extLst>
        </c:ser>
        <c:ser>
          <c:idx val="1"/>
          <c:order val="1"/>
          <c:tx>
            <c:strRef>
              <c:f>'Homo + bi vitimas de viol'!$A$12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'Homo + bi vitimas de viol'!$B$2:$D$2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'Homo + bi vitimas de viol'!$B$12:$D$12</c:f>
              <c:numCache>
                <c:formatCode>General</c:formatCode>
                <c:ptCount val="3"/>
                <c:pt idx="0">
                  <c:v>9845</c:v>
                </c:pt>
                <c:pt idx="1">
                  <c:v>7115</c:v>
                </c:pt>
                <c:pt idx="2">
                  <c:v>2730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8-44E3-B26A-44E5D80B0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82483344"/>
        <c:axId val="-582474640"/>
      </c:barChart>
      <c:catAx>
        <c:axId val="-5824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74640"/>
        <c:crosses val="autoZero"/>
        <c:auto val="1"/>
        <c:lblAlgn val="ctr"/>
        <c:lblOffset val="100"/>
        <c:noMultiLvlLbl val="0"/>
      </c:catAx>
      <c:valAx>
        <c:axId val="-58247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'Orientação - faixa etária'!$B$1</c:f>
              <c:strCache>
                <c:ptCount val="1"/>
                <c:pt idx="0">
                  <c:v>Heterossexual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'Orientação - faixa etária'!$A$2:$A$16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'Orientação - faixa etária'!$B$2:$B$16</c:f>
              <c:numCache>
                <c:formatCode>General</c:formatCode>
                <c:ptCount val="15"/>
                <c:pt idx="0">
                  <c:v>9.1999999999999993</c:v>
                </c:pt>
                <c:pt idx="1">
                  <c:v>10.6</c:v>
                </c:pt>
                <c:pt idx="2">
                  <c:v>12.1</c:v>
                </c:pt>
                <c:pt idx="3">
                  <c:v>12.9</c:v>
                </c:pt>
                <c:pt idx="4">
                  <c:v>11.6</c:v>
                </c:pt>
                <c:pt idx="5">
                  <c:v>10.8</c:v>
                </c:pt>
                <c:pt idx="6">
                  <c:v>9.4</c:v>
                </c:pt>
                <c:pt idx="7">
                  <c:v>6.6</c:v>
                </c:pt>
                <c:pt idx="8">
                  <c:v>4.3</c:v>
                </c:pt>
                <c:pt idx="9">
                  <c:v>3</c:v>
                </c:pt>
                <c:pt idx="10">
                  <c:v>2.8</c:v>
                </c:pt>
                <c:pt idx="11">
                  <c:v>2.1</c:v>
                </c:pt>
                <c:pt idx="12">
                  <c:v>1.7</c:v>
                </c:pt>
                <c:pt idx="13">
                  <c:v>1.3</c:v>
                </c:pt>
                <c:pt idx="1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0-422D-BA9B-9C318C040E80}"/>
            </c:ext>
          </c:extLst>
        </c:ser>
        <c:ser>
          <c:idx val="1"/>
          <c:order val="1"/>
          <c:tx>
            <c:strRef>
              <c:f>'Orientação - faixa etária'!$C$1</c:f>
              <c:strCache>
                <c:ptCount val="1"/>
                <c:pt idx="0">
                  <c:v>Homossexual (gay-lésbica)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'Orientação - faixa etária'!$A$2:$A$16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'Orientação - faixa etária'!$C$2:$C$16</c:f>
              <c:numCache>
                <c:formatCode>General</c:formatCode>
                <c:ptCount val="15"/>
                <c:pt idx="0">
                  <c:v>5.8</c:v>
                </c:pt>
                <c:pt idx="1">
                  <c:v>13</c:v>
                </c:pt>
                <c:pt idx="2">
                  <c:v>18.3</c:v>
                </c:pt>
                <c:pt idx="3">
                  <c:v>19.100000000000001</c:v>
                </c:pt>
                <c:pt idx="4">
                  <c:v>14.1</c:v>
                </c:pt>
                <c:pt idx="5">
                  <c:v>9.9</c:v>
                </c:pt>
                <c:pt idx="6">
                  <c:v>6.7</c:v>
                </c:pt>
                <c:pt idx="7">
                  <c:v>4.7</c:v>
                </c:pt>
                <c:pt idx="8">
                  <c:v>2.9</c:v>
                </c:pt>
                <c:pt idx="9">
                  <c:v>2</c:v>
                </c:pt>
                <c:pt idx="10">
                  <c:v>1.1000000000000001</c:v>
                </c:pt>
                <c:pt idx="11">
                  <c:v>0.9</c:v>
                </c:pt>
                <c:pt idx="12">
                  <c:v>0.8</c:v>
                </c:pt>
                <c:pt idx="13">
                  <c:v>0.3</c:v>
                </c:pt>
                <c:pt idx="1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0-422D-BA9B-9C318C040E80}"/>
            </c:ext>
          </c:extLst>
        </c:ser>
        <c:ser>
          <c:idx val="2"/>
          <c:order val="2"/>
          <c:tx>
            <c:strRef>
              <c:f>'Orientação - faixa etária'!$D$1</c:f>
              <c:strCache>
                <c:ptCount val="1"/>
                <c:pt idx="0">
                  <c:v>Bissexual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'Orientação - faixa etária'!$A$2:$A$16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'Orientação - faixa etária'!$D$2:$D$16</c:f>
              <c:numCache>
                <c:formatCode>General</c:formatCode>
                <c:ptCount val="15"/>
                <c:pt idx="0">
                  <c:v>12.1</c:v>
                </c:pt>
                <c:pt idx="1">
                  <c:v>24.9</c:v>
                </c:pt>
                <c:pt idx="2">
                  <c:v>24</c:v>
                </c:pt>
                <c:pt idx="3">
                  <c:v>15.1</c:v>
                </c:pt>
                <c:pt idx="4">
                  <c:v>10.4</c:v>
                </c:pt>
                <c:pt idx="5">
                  <c:v>5.8</c:v>
                </c:pt>
                <c:pt idx="6">
                  <c:v>3.4</c:v>
                </c:pt>
                <c:pt idx="7">
                  <c:v>1.8</c:v>
                </c:pt>
                <c:pt idx="8">
                  <c:v>1.1000000000000001</c:v>
                </c:pt>
                <c:pt idx="9">
                  <c:v>0.5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0-422D-BA9B-9C318C04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82481168"/>
        <c:axId val="-582477904"/>
      </c:lineChart>
      <c:catAx>
        <c:axId val="-58248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77904"/>
        <c:crosses val="autoZero"/>
        <c:auto val="1"/>
        <c:lblAlgn val="ctr"/>
        <c:lblOffset val="100"/>
        <c:noMultiLvlLbl val="0"/>
      </c:catAx>
      <c:valAx>
        <c:axId val="-5824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8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'Identidade - faixa etária'!$B$1</c:f>
              <c:strCache>
                <c:ptCount val="1"/>
                <c:pt idx="0">
                  <c:v>Travesti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'Identidade - faixa etária'!$A$2:$A$16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'Identidade - faixa etária'!$B$2:$B$16</c:f>
              <c:numCache>
                <c:formatCode>General</c:formatCode>
                <c:ptCount val="15"/>
                <c:pt idx="0">
                  <c:v>4.7</c:v>
                </c:pt>
                <c:pt idx="1">
                  <c:v>11.4</c:v>
                </c:pt>
                <c:pt idx="2">
                  <c:v>15.5</c:v>
                </c:pt>
                <c:pt idx="3">
                  <c:v>19.3</c:v>
                </c:pt>
                <c:pt idx="4">
                  <c:v>12.7</c:v>
                </c:pt>
                <c:pt idx="5">
                  <c:v>10.199999999999999</c:v>
                </c:pt>
                <c:pt idx="6">
                  <c:v>8.1999999999999993</c:v>
                </c:pt>
                <c:pt idx="7">
                  <c:v>6.2</c:v>
                </c:pt>
                <c:pt idx="8">
                  <c:v>2.9</c:v>
                </c:pt>
                <c:pt idx="9">
                  <c:v>2</c:v>
                </c:pt>
                <c:pt idx="10">
                  <c:v>2.1</c:v>
                </c:pt>
                <c:pt idx="11">
                  <c:v>1.5</c:v>
                </c:pt>
                <c:pt idx="12">
                  <c:v>1.4</c:v>
                </c:pt>
                <c:pt idx="13">
                  <c:v>0.8</c:v>
                </c:pt>
                <c:pt idx="14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5-4B00-8672-F86B7B248513}"/>
            </c:ext>
          </c:extLst>
        </c:ser>
        <c:ser>
          <c:idx val="1"/>
          <c:order val="1"/>
          <c:tx>
            <c:strRef>
              <c:f>'Identidade - faixa etária'!$C$1</c:f>
              <c:strCache>
                <c:ptCount val="1"/>
                <c:pt idx="0">
                  <c:v>Transexual Mulher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'Identidade - faixa etária'!$A$2:$A$16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'Identidade - faixa etária'!$C$2:$C$16</c:f>
              <c:numCache>
                <c:formatCode>General</c:formatCode>
                <c:ptCount val="15"/>
                <c:pt idx="0">
                  <c:v>9.4</c:v>
                </c:pt>
                <c:pt idx="1">
                  <c:v>13.6</c:v>
                </c:pt>
                <c:pt idx="2">
                  <c:v>15.5</c:v>
                </c:pt>
                <c:pt idx="3">
                  <c:v>14.9</c:v>
                </c:pt>
                <c:pt idx="4">
                  <c:v>11.5</c:v>
                </c:pt>
                <c:pt idx="5">
                  <c:v>10.6</c:v>
                </c:pt>
                <c:pt idx="6">
                  <c:v>8.5</c:v>
                </c:pt>
                <c:pt idx="7">
                  <c:v>5.2</c:v>
                </c:pt>
                <c:pt idx="8">
                  <c:v>3.3</c:v>
                </c:pt>
                <c:pt idx="9">
                  <c:v>2.2000000000000002</c:v>
                </c:pt>
                <c:pt idx="10">
                  <c:v>2</c:v>
                </c:pt>
                <c:pt idx="11">
                  <c:v>1.3</c:v>
                </c:pt>
                <c:pt idx="12">
                  <c:v>0.7</c:v>
                </c:pt>
                <c:pt idx="13">
                  <c:v>0.5</c:v>
                </c:pt>
                <c:pt idx="1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5-4B00-8672-F86B7B248513}"/>
            </c:ext>
          </c:extLst>
        </c:ser>
        <c:ser>
          <c:idx val="2"/>
          <c:order val="2"/>
          <c:tx>
            <c:strRef>
              <c:f>'Identidade - faixa etária'!$D$1</c:f>
              <c:strCache>
                <c:ptCount val="1"/>
                <c:pt idx="0">
                  <c:v>Transexual Homem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'Identidade - faixa etária'!$A$2:$A$16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'Identidade - faixa etária'!$D$2:$D$16</c:f>
              <c:numCache>
                <c:formatCode>General</c:formatCode>
                <c:ptCount val="15"/>
                <c:pt idx="0">
                  <c:v>6.8</c:v>
                </c:pt>
                <c:pt idx="1">
                  <c:v>16.2</c:v>
                </c:pt>
                <c:pt idx="2">
                  <c:v>16.899999999999999</c:v>
                </c:pt>
                <c:pt idx="3">
                  <c:v>15.4</c:v>
                </c:pt>
                <c:pt idx="4">
                  <c:v>11.4</c:v>
                </c:pt>
                <c:pt idx="5">
                  <c:v>8.9</c:v>
                </c:pt>
                <c:pt idx="6">
                  <c:v>6.7</c:v>
                </c:pt>
                <c:pt idx="7">
                  <c:v>5.6</c:v>
                </c:pt>
                <c:pt idx="8">
                  <c:v>3.5</c:v>
                </c:pt>
                <c:pt idx="9">
                  <c:v>1.8</c:v>
                </c:pt>
                <c:pt idx="10">
                  <c:v>3.2</c:v>
                </c:pt>
                <c:pt idx="11">
                  <c:v>1.4</c:v>
                </c:pt>
                <c:pt idx="12">
                  <c:v>0.8</c:v>
                </c:pt>
                <c:pt idx="13">
                  <c:v>0.5</c:v>
                </c:pt>
                <c:pt idx="1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D5-4B00-8672-F86B7B24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82482800"/>
        <c:axId val="-582480624"/>
      </c:lineChart>
      <c:catAx>
        <c:axId val="-5824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80624"/>
        <c:crosses val="autoZero"/>
        <c:auto val="1"/>
        <c:lblAlgn val="ctr"/>
        <c:lblOffset val="100"/>
        <c:noMultiLvlLbl val="0"/>
      </c:catAx>
      <c:valAx>
        <c:axId val="-5824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'Orientação-cor'!$A$15</c:f>
              <c:strCache>
                <c:ptCount val="1"/>
                <c:pt idx="0">
                  <c:v>Branco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'Orientação-cor'!$B$14:$D$14</c:f>
              <c:strCache>
                <c:ptCount val="3"/>
                <c:pt idx="0">
                  <c:v>Heterossexual</c:v>
                </c:pt>
                <c:pt idx="1">
                  <c:v>Homossexual</c:v>
                </c:pt>
                <c:pt idx="2">
                  <c:v>Bissexual</c:v>
                </c:pt>
              </c:strCache>
            </c:strRef>
          </c:cat>
          <c:val>
            <c:numRef>
              <c:f>'Orientação-cor'!$B$15:$D$15</c:f>
              <c:numCache>
                <c:formatCode>_-* #,##0.0_-;\-* #,##0.0_-;_-* "-"??_-;_-@_-</c:formatCode>
                <c:ptCount val="3"/>
                <c:pt idx="0">
                  <c:v>37.799999999999997</c:v>
                </c:pt>
                <c:pt idx="1">
                  <c:v>37.200000000000003</c:v>
                </c:pt>
                <c:pt idx="2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D-4F56-A7C0-CC53338247DC}"/>
            </c:ext>
          </c:extLst>
        </c:ser>
        <c:ser>
          <c:idx val="1"/>
          <c:order val="1"/>
          <c:tx>
            <c:strRef>
              <c:f>'Orientação-cor'!$A$16</c:f>
              <c:strCache>
                <c:ptCount val="1"/>
                <c:pt idx="0">
                  <c:v>Negro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'Orientação-cor'!$B$14:$D$14</c:f>
              <c:strCache>
                <c:ptCount val="3"/>
                <c:pt idx="0">
                  <c:v>Heterossexual</c:v>
                </c:pt>
                <c:pt idx="1">
                  <c:v>Homossexual</c:v>
                </c:pt>
                <c:pt idx="2">
                  <c:v>Bissexual</c:v>
                </c:pt>
              </c:strCache>
            </c:strRef>
          </c:cat>
          <c:val>
            <c:numRef>
              <c:f>'Orientação-cor'!$B$16:$D$16</c:f>
              <c:numCache>
                <c:formatCode>_-* #,##0.0_-;\-* #,##0.0_-;_-* "-"??_-;_-@_-</c:formatCode>
                <c:ptCount val="3"/>
                <c:pt idx="0">
                  <c:v>58.2</c:v>
                </c:pt>
                <c:pt idx="1">
                  <c:v>58.7</c:v>
                </c:pt>
                <c:pt idx="2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D-4F56-A7C0-CC53338247DC}"/>
            </c:ext>
          </c:extLst>
        </c:ser>
        <c:ser>
          <c:idx val="2"/>
          <c:order val="2"/>
          <c:tx>
            <c:strRef>
              <c:f>'Orientação-cor'!$A$17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'Orientação-cor'!$B$14:$D$14</c:f>
              <c:strCache>
                <c:ptCount val="3"/>
                <c:pt idx="0">
                  <c:v>Heterossexual</c:v>
                </c:pt>
                <c:pt idx="1">
                  <c:v>Homossexual</c:v>
                </c:pt>
                <c:pt idx="2">
                  <c:v>Bissexual</c:v>
                </c:pt>
              </c:strCache>
            </c:strRef>
          </c:cat>
          <c:val>
            <c:numRef>
              <c:f>'Orientação-cor'!$B$17:$D$17</c:f>
              <c:numCache>
                <c:formatCode>_-* #,##0.0_-;\-* #,##0.0_-;_-* "-"??_-;_-@_-</c:formatCode>
                <c:ptCount val="3"/>
                <c:pt idx="0">
                  <c:v>0.9</c:v>
                </c:pt>
                <c:pt idx="1">
                  <c:v>1</c:v>
                </c:pt>
                <c:pt idx="2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D-4F56-A7C0-CC53338247DC}"/>
            </c:ext>
          </c:extLst>
        </c:ser>
        <c:ser>
          <c:idx val="3"/>
          <c:order val="3"/>
          <c:tx>
            <c:strRef>
              <c:f>'Orientação-cor'!$A$18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'Orientação-cor'!$B$14:$D$14</c:f>
              <c:strCache>
                <c:ptCount val="3"/>
                <c:pt idx="0">
                  <c:v>Heterossexual</c:v>
                </c:pt>
                <c:pt idx="1">
                  <c:v>Homossexual</c:v>
                </c:pt>
                <c:pt idx="2">
                  <c:v>Bissexual</c:v>
                </c:pt>
              </c:strCache>
            </c:strRef>
          </c:cat>
          <c:val>
            <c:numRef>
              <c:f>'Orientação-cor'!$B$18:$D$18</c:f>
              <c:numCache>
                <c:formatCode>_-* #,##0.0_-;\-* #,##0.0_-;_-* "-"??_-;_-@_-</c:formatCode>
                <c:ptCount val="3"/>
                <c:pt idx="0">
                  <c:v>1.4</c:v>
                </c:pt>
                <c:pt idx="1">
                  <c:v>0.8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D-4F56-A7C0-CC53338247DC}"/>
            </c:ext>
          </c:extLst>
        </c:ser>
        <c:ser>
          <c:idx val="4"/>
          <c:order val="4"/>
          <c:tx>
            <c:strRef>
              <c:f>'Orientação-cor'!$A$19</c:f>
              <c:strCache>
                <c:ptCount val="1"/>
                <c:pt idx="0">
                  <c:v>Ignorado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'Orientação-cor'!$B$14:$D$14</c:f>
              <c:strCache>
                <c:ptCount val="3"/>
                <c:pt idx="0">
                  <c:v>Heterossexual</c:v>
                </c:pt>
                <c:pt idx="1">
                  <c:v>Homossexual</c:v>
                </c:pt>
                <c:pt idx="2">
                  <c:v>Bissexual</c:v>
                </c:pt>
              </c:strCache>
            </c:strRef>
          </c:cat>
          <c:val>
            <c:numRef>
              <c:f>'Orientação-cor'!$B$19:$D$19</c:f>
              <c:numCache>
                <c:formatCode>_-* #,##0.0_-;\-* #,##0.0_-;_-* "-"??_-;_-@_-</c:formatCode>
                <c:ptCount val="3"/>
                <c:pt idx="0">
                  <c:v>1.8</c:v>
                </c:pt>
                <c:pt idx="1">
                  <c:v>2.2999999999999998</c:v>
                </c:pt>
                <c:pt idx="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D-4F56-A7C0-CC533382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82478992"/>
        <c:axId val="-583084336"/>
      </c:barChart>
      <c:catAx>
        <c:axId val="-5824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3084336"/>
        <c:crosses val="autoZero"/>
        <c:auto val="1"/>
        <c:lblAlgn val="ctr"/>
        <c:lblOffset val="100"/>
        <c:noMultiLvlLbl val="0"/>
      </c:catAx>
      <c:valAx>
        <c:axId val="-5830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24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'identidade-cor'!$A$14</c:f>
              <c:strCache>
                <c:ptCount val="1"/>
                <c:pt idx="0">
                  <c:v>Branco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'identidade-cor'!$B$13:$D$13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'identidade-cor'!$B$14:$D$14</c:f>
              <c:numCache>
                <c:formatCode>0%</c:formatCode>
                <c:ptCount val="3"/>
                <c:pt idx="0">
                  <c:v>0.30199999999999999</c:v>
                </c:pt>
                <c:pt idx="1">
                  <c:v>0.32799999999999996</c:v>
                </c:pt>
                <c:pt idx="2">
                  <c:v>0.48100000000000004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6-445C-A020-6C72C6E2D529}"/>
            </c:ext>
          </c:extLst>
        </c:ser>
        <c:ser>
          <c:idx val="1"/>
          <c:order val="1"/>
          <c:tx>
            <c:strRef>
              <c:f>'identidade-cor'!$A$15</c:f>
              <c:strCache>
                <c:ptCount val="1"/>
                <c:pt idx="0">
                  <c:v>Negro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'identidade-cor'!$B$13:$D$13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'identidade-cor'!$B$15:$D$15</c:f>
              <c:numCache>
                <c:formatCode>0%</c:formatCode>
                <c:ptCount val="3"/>
                <c:pt idx="0">
                  <c:v>0.64899999999999991</c:v>
                </c:pt>
                <c:pt idx="1">
                  <c:v>0.61899999999999999</c:v>
                </c:pt>
                <c:pt idx="2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6-445C-A020-6C72C6E2D529}"/>
            </c:ext>
          </c:extLst>
        </c:ser>
        <c:ser>
          <c:idx val="2"/>
          <c:order val="2"/>
          <c:tx>
            <c:strRef>
              <c:f>'identidade-cor'!$A$16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'identidade-cor'!$B$13:$D$13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'identidade-cor'!$B$16:$D$16</c:f>
              <c:numCache>
                <c:formatCode>0%</c:formatCode>
                <c:ptCount val="3"/>
                <c:pt idx="0">
                  <c:v>8.0000000000000002E-3</c:v>
                </c:pt>
                <c:pt idx="1">
                  <c:v>0.01</c:v>
                </c:pt>
                <c:pt idx="2">
                  <c:v>9.0000000000000011E-3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6-445C-A020-6C72C6E2D529}"/>
            </c:ext>
          </c:extLst>
        </c:ser>
        <c:ser>
          <c:idx val="3"/>
          <c:order val="3"/>
          <c:tx>
            <c:strRef>
              <c:f>'identidade-cor'!$A$17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'identidade-cor'!$B$13:$D$13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'identidade-cor'!$B$17:$D$17</c:f>
              <c:numCache>
                <c:formatCode>0%</c:formatCode>
                <c:ptCount val="3"/>
                <c:pt idx="0">
                  <c:v>1.8000000000000002E-2</c:v>
                </c:pt>
                <c:pt idx="1">
                  <c:v>1.6E-2</c:v>
                </c:pt>
                <c:pt idx="2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46-445C-A020-6C72C6E2D529}"/>
            </c:ext>
          </c:extLst>
        </c:ser>
        <c:ser>
          <c:idx val="4"/>
          <c:order val="4"/>
          <c:tx>
            <c:strRef>
              <c:f>'identidade-cor'!$A$18</c:f>
              <c:strCache>
                <c:ptCount val="1"/>
                <c:pt idx="0">
                  <c:v>Ignorado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'identidade-cor'!$B$13:$D$13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'identidade-cor'!$B$18:$D$18</c:f>
              <c:numCache>
                <c:formatCode>0%</c:formatCode>
                <c:ptCount val="3"/>
                <c:pt idx="0">
                  <c:v>2.3E-2</c:v>
                </c:pt>
                <c:pt idx="1">
                  <c:v>2.7000000000000003E-2</c:v>
                </c:pt>
                <c:pt idx="2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46-445C-A020-6C72C6E2D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74040032"/>
        <c:axId val="-374042752"/>
      </c:barChart>
      <c:catAx>
        <c:axId val="-37404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42752"/>
        <c:crosses val="autoZero"/>
        <c:auto val="1"/>
        <c:lblAlgn val="ctr"/>
        <c:lblOffset val="100"/>
        <c:noMultiLvlLbl val="0"/>
      </c:catAx>
      <c:valAx>
        <c:axId val="-3740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4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7.4A trans'!$A$12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7.4A trans'!$B$3:$D$3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'Gráfico 7.4A trans'!$B$12:$D$12</c:f>
              <c:numCache>
                <c:formatCode>General</c:formatCode>
                <c:ptCount val="3"/>
                <c:pt idx="0">
                  <c:v>753</c:v>
                </c:pt>
                <c:pt idx="1">
                  <c:v>2540</c:v>
                </c:pt>
                <c:pt idx="2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6-4694-976E-D072CC109B7D}"/>
            </c:ext>
          </c:extLst>
        </c:ser>
        <c:ser>
          <c:idx val="1"/>
          <c:order val="1"/>
          <c:tx>
            <c:strRef>
              <c:f>'Gráfico 7.4A trans'!$A$13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7.4A trans'!$B$3:$D$3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'Gráfico 7.4A trans'!$B$13:$D$13</c:f>
              <c:numCache>
                <c:formatCode>General</c:formatCode>
                <c:ptCount val="3"/>
                <c:pt idx="0">
                  <c:v>1332</c:v>
                </c:pt>
                <c:pt idx="1">
                  <c:v>3524</c:v>
                </c:pt>
                <c:pt idx="2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6-4694-976E-D072CC109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74031328"/>
        <c:axId val="-374041664"/>
      </c:barChart>
      <c:catAx>
        <c:axId val="-37403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41664"/>
        <c:crosses val="autoZero"/>
        <c:auto val="1"/>
        <c:lblAlgn val="ctr"/>
        <c:lblOffset val="100"/>
        <c:noMultiLvlLbl val="0"/>
      </c:catAx>
      <c:valAx>
        <c:axId val="-3740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Homossexuais!$A$5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Homossexuais!$B$5:$D$5</c:f>
              <c:numCache>
                <c:formatCode>General</c:formatCode>
                <c:ptCount val="3"/>
                <c:pt idx="0">
                  <c:v>4540</c:v>
                </c:pt>
                <c:pt idx="1">
                  <c:v>3319</c:v>
                </c:pt>
                <c:pt idx="2">
                  <c:v>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F-4703-8B0F-980200071C4D}"/>
            </c:ext>
          </c:extLst>
        </c:ser>
        <c:ser>
          <c:idx val="1"/>
          <c:order val="1"/>
          <c:tx>
            <c:strRef>
              <c:f>Homossexuais!$A$6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Homossexuais!$B$6:$D$6</c:f>
              <c:numCache>
                <c:formatCode>General</c:formatCode>
                <c:ptCount val="3"/>
                <c:pt idx="0">
                  <c:v>5299</c:v>
                </c:pt>
                <c:pt idx="1">
                  <c:v>3820</c:v>
                </c:pt>
                <c:pt idx="2">
                  <c:v>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F-4703-8B0F-980200071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74035680"/>
        <c:axId val="-374030784"/>
      </c:barChart>
      <c:catAx>
        <c:axId val="-3740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0784"/>
        <c:crosses val="autoZero"/>
        <c:auto val="1"/>
        <c:lblAlgn val="ctr"/>
        <c:lblOffset val="100"/>
        <c:noMultiLvlLbl val="0"/>
      </c:catAx>
      <c:valAx>
        <c:axId val="-3740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23 - Bissexuais'!$A$6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23 - Bissexuais'!$B$6:$D$6</c:f>
              <c:numCache>
                <c:formatCode>General</c:formatCode>
                <c:ptCount val="3"/>
                <c:pt idx="0">
                  <c:v>1977</c:v>
                </c:pt>
                <c:pt idx="1">
                  <c:v>1144</c:v>
                </c:pt>
                <c:pt idx="2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2-4D66-BD06-E2D5EFAF4F14}"/>
            </c:ext>
          </c:extLst>
        </c:ser>
        <c:ser>
          <c:idx val="1"/>
          <c:order val="1"/>
          <c:tx>
            <c:strRef>
              <c:f>'Gráfico 23 - Bissexuais'!$A$7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23 - Bissexuais'!$B$7:$D$7</c:f>
              <c:numCache>
                <c:formatCode>General</c:formatCode>
                <c:ptCount val="3"/>
                <c:pt idx="0">
                  <c:v>2730</c:v>
                </c:pt>
                <c:pt idx="1">
                  <c:v>1693</c:v>
                </c:pt>
                <c:pt idx="2">
                  <c:v>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2-4D66-BD06-E2D5EFAF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74043296"/>
        <c:axId val="-374033504"/>
      </c:barChart>
      <c:catAx>
        <c:axId val="-3740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3504"/>
        <c:crosses val="autoZero"/>
        <c:auto val="1"/>
        <c:lblAlgn val="ctr"/>
        <c:lblOffset val="100"/>
        <c:noMultiLvlLbl val="0"/>
      </c:catAx>
      <c:valAx>
        <c:axId val="-3740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24 - V. Física'!$A$5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V. Física'!$B$5:$D$5</c:f>
              <c:numCache>
                <c:formatCode>General</c:formatCode>
                <c:ptCount val="3"/>
                <c:pt idx="0">
                  <c:v>2391</c:v>
                </c:pt>
                <c:pt idx="1">
                  <c:v>1673</c:v>
                </c:pt>
                <c:pt idx="2">
                  <c:v>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6-43E5-9F9C-4ED367634995}"/>
            </c:ext>
          </c:extLst>
        </c:ser>
        <c:ser>
          <c:idx val="1"/>
          <c:order val="1"/>
          <c:tx>
            <c:strRef>
              <c:f>'Gráfico 24 - V. Física'!$A$6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V. Física'!$B$6:$D$6</c:f>
              <c:numCache>
                <c:formatCode>General</c:formatCode>
                <c:ptCount val="3"/>
                <c:pt idx="0">
                  <c:v>2950</c:v>
                </c:pt>
                <c:pt idx="1">
                  <c:v>1894</c:v>
                </c:pt>
                <c:pt idx="2">
                  <c:v>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6-43E5-9F9C-4ED367634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74037856"/>
        <c:axId val="-374037312"/>
      </c:barChart>
      <c:catAx>
        <c:axId val="-3740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7312"/>
        <c:crosses val="autoZero"/>
        <c:auto val="1"/>
        <c:lblAlgn val="ctr"/>
        <c:lblOffset val="100"/>
        <c:noMultiLvlLbl val="0"/>
      </c:catAx>
      <c:valAx>
        <c:axId val="-37403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24 - V. Psicológica'!$A$6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V. Psicológica'!$B$6:$D$6</c:f>
              <c:numCache>
                <c:formatCode>General</c:formatCode>
                <c:ptCount val="3"/>
                <c:pt idx="0">
                  <c:v>1230</c:v>
                </c:pt>
                <c:pt idx="1">
                  <c:v>758</c:v>
                </c:pt>
                <c:pt idx="2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8-4F00-8F0A-E7569A3FB72C}"/>
            </c:ext>
          </c:extLst>
        </c:ser>
        <c:ser>
          <c:idx val="1"/>
          <c:order val="1"/>
          <c:tx>
            <c:strRef>
              <c:f>'Gráfico 24 - V. Psicológica'!$A$7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V. Psicológica'!$B$7:$D$7</c:f>
              <c:numCache>
                <c:formatCode>General</c:formatCode>
                <c:ptCount val="3"/>
                <c:pt idx="0">
                  <c:v>1838</c:v>
                </c:pt>
                <c:pt idx="1">
                  <c:v>947</c:v>
                </c:pt>
                <c:pt idx="2">
                  <c:v>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8-4F00-8F0A-E7569A3FB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74030240"/>
        <c:axId val="-374038944"/>
      </c:barChart>
      <c:catAx>
        <c:axId val="-3740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8944"/>
        <c:crosses val="autoZero"/>
        <c:auto val="1"/>
        <c:lblAlgn val="ctr"/>
        <c:lblOffset val="100"/>
        <c:noMultiLvlLbl val="0"/>
      </c:catAx>
      <c:valAx>
        <c:axId val="-3740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24 - Tortura'!$A$6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Tortura'!$B$6:$D$6</c:f>
              <c:numCache>
                <c:formatCode>General</c:formatCode>
                <c:ptCount val="3"/>
                <c:pt idx="0">
                  <c:v>163</c:v>
                </c:pt>
                <c:pt idx="1">
                  <c:v>37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3-4542-93FE-7FD4B9768A9D}"/>
            </c:ext>
          </c:extLst>
        </c:ser>
        <c:ser>
          <c:idx val="1"/>
          <c:order val="1"/>
          <c:tx>
            <c:strRef>
              <c:f>'Gráfico 24 - Tortura'!$A$7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Tortura'!$B$7:$D$7</c:f>
              <c:numCache>
                <c:formatCode>General</c:formatCode>
                <c:ptCount val="3"/>
                <c:pt idx="0">
                  <c:v>212</c:v>
                </c:pt>
                <c:pt idx="1">
                  <c:v>60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3-4542-93FE-7FD4B9768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74029696"/>
        <c:axId val="-374035136"/>
      </c:barChart>
      <c:catAx>
        <c:axId val="-3740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5136"/>
        <c:crosses val="autoZero"/>
        <c:auto val="1"/>
        <c:lblAlgn val="ctr"/>
        <c:lblOffset val="100"/>
        <c:noMultiLvlLbl val="0"/>
      </c:catAx>
      <c:valAx>
        <c:axId val="-37403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2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24 - Outros'!$A$6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Outros'!$B$6:$D$6</c:f>
              <c:numCache>
                <c:formatCode>General</c:formatCode>
                <c:ptCount val="3"/>
                <c:pt idx="0">
                  <c:v>101</c:v>
                </c:pt>
                <c:pt idx="1">
                  <c:v>21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3-4EEB-823E-87005DED8A11}"/>
            </c:ext>
          </c:extLst>
        </c:ser>
        <c:ser>
          <c:idx val="1"/>
          <c:order val="1"/>
          <c:tx>
            <c:strRef>
              <c:f>'Gráfico 24 - Outros'!$A$7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Homossexuais!$B$1:$D$1</c:f>
              <c:strCache>
                <c:ptCount val="3"/>
                <c:pt idx="0">
                  <c:v>Bruto</c:v>
                </c:pt>
                <c:pt idx="1">
                  <c:v>Mesmo Município</c:v>
                </c:pt>
                <c:pt idx="2">
                  <c:v>Mesma Unidade</c:v>
                </c:pt>
              </c:strCache>
            </c:strRef>
          </c:cat>
          <c:val>
            <c:numRef>
              <c:f>'Gráfico 24 - Outros'!$B$7:$D$7</c:f>
              <c:numCache>
                <c:formatCode>General</c:formatCode>
                <c:ptCount val="3"/>
                <c:pt idx="0">
                  <c:v>156</c:v>
                </c:pt>
                <c:pt idx="1">
                  <c:v>72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3-4EEB-823E-87005DED8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74031872"/>
        <c:axId val="-374044928"/>
      </c:barChart>
      <c:catAx>
        <c:axId val="-37403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44928"/>
        <c:crosses val="autoZero"/>
        <c:auto val="1"/>
        <c:lblAlgn val="ctr"/>
        <c:lblOffset val="100"/>
        <c:noMultiLvlLbl val="0"/>
      </c:catAx>
      <c:valAx>
        <c:axId val="-3740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403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5</xdr:row>
      <xdr:rowOff>109537</xdr:rowOff>
    </xdr:from>
    <xdr:to>
      <xdr:col>12</xdr:col>
      <xdr:colOff>57150</xdr:colOff>
      <xdr:row>19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0</xdr:row>
      <xdr:rowOff>114300</xdr:rowOff>
    </xdr:from>
    <xdr:to>
      <xdr:col>15</xdr:col>
      <xdr:colOff>314325</xdr:colOff>
      <xdr:row>16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80961</xdr:rowOff>
    </xdr:from>
    <xdr:to>
      <xdr:col>14</xdr:col>
      <xdr:colOff>466725</xdr:colOff>
      <xdr:row>17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6</xdr:row>
      <xdr:rowOff>176212</xdr:rowOff>
    </xdr:from>
    <xdr:to>
      <xdr:col>13</xdr:col>
      <xdr:colOff>190500</xdr:colOff>
      <xdr:row>21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14287</xdr:rowOff>
    </xdr:from>
    <xdr:to>
      <xdr:col>12</xdr:col>
      <xdr:colOff>504825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7</xdr:row>
      <xdr:rowOff>109537</xdr:rowOff>
    </xdr:from>
    <xdr:to>
      <xdr:col>12</xdr:col>
      <xdr:colOff>466725</xdr:colOff>
      <xdr:row>21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438149</xdr:colOff>
      <xdr:row>7</xdr:row>
      <xdr:rowOff>4762</xdr:rowOff>
    </xdr:from>
    <xdr:to>
      <xdr:col>13</xdr:col>
      <xdr:colOff>219074</xdr:colOff>
      <xdr:row>23</xdr:row>
      <xdr:rowOff>57150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0.43403</cdr:x>
      <cdr:y>0.07407</cdr:y>
    </cdr:from>
    <cdr:to>
      <cdr:x>0.57015</cdr:x>
      <cdr:y>0.1594</cdr:y>
    </cdr:to>
    <cdr:sp macro="" textlink="">
      <cdr:nvSpPr>
        <cdr:cNvPr id="2" name="CaixaDeTexto 14"/>
        <cdr:cNvSpPr txBox="1"/>
      </cdr:nvSpPr>
      <cdr:spPr>
        <a:xfrm xmlns:a="http://schemas.openxmlformats.org/drawingml/2006/main">
          <a:off x="2286177" y="229646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26,5%</a:t>
          </a:r>
        </a:p>
      </cdr:txBody>
    </cdr:sp>
  </cdr:relSizeAnchor>
  <cdr:relSizeAnchor xmlns:cdr="http://schemas.openxmlformats.org/drawingml/2006/chartDrawing">
    <cdr:from>
      <cdr:x>0.76626</cdr:x>
      <cdr:y>0.03797</cdr:y>
    </cdr:from>
    <cdr:to>
      <cdr:x>0.90238</cdr:x>
      <cdr:y>0.1233</cdr:y>
    </cdr:to>
    <cdr:sp macro="" textlink="">
      <cdr:nvSpPr>
        <cdr:cNvPr id="3" name="CaixaDeTexto 14"/>
        <cdr:cNvSpPr txBox="1"/>
      </cdr:nvSpPr>
      <cdr:spPr>
        <a:xfrm xmlns:a="http://schemas.openxmlformats.org/drawingml/2006/main">
          <a:off x="4036140" y="117722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30,1%</a:t>
          </a:r>
        </a:p>
      </cdr:txBody>
    </cdr:sp>
  </cdr:relSizeAnchor>
  <cdr:relSizeAnchor xmlns:cdr="http://schemas.openxmlformats.org/drawingml/2006/chartDrawing">
    <cdr:from>
      <cdr:x>0.17361</cdr:x>
      <cdr:y>0.04977</cdr:y>
    </cdr:from>
    <cdr:to>
      <cdr:x>0.30973</cdr:x>
      <cdr:y>0.1351</cdr:y>
    </cdr:to>
    <cdr:sp macro="" textlink="">
      <cdr:nvSpPr>
        <cdr:cNvPr id="4" name="CaixaDeTexto 14"/>
        <cdr:cNvSpPr txBox="1"/>
      </cdr:nvSpPr>
      <cdr:spPr>
        <a:xfrm xmlns:a="http://schemas.openxmlformats.org/drawingml/2006/main">
          <a:off x="914460" y="154306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34,3%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7</xdr:row>
      <xdr:rowOff>161924</xdr:rowOff>
    </xdr:from>
    <xdr:to>
      <xdr:col>15</xdr:col>
      <xdr:colOff>85725</xdr:colOff>
      <xdr:row>25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0.46736</cdr:x>
      <cdr:y>0.04282</cdr:y>
    </cdr:from>
    <cdr:to>
      <cdr:x>0.58799</cdr:x>
      <cdr:y>0.1238</cdr:y>
    </cdr:to>
    <cdr:sp macro="" textlink="">
      <cdr:nvSpPr>
        <cdr:cNvPr id="2" name="CaixaDeTexto 14"/>
        <cdr:cNvSpPr txBox="1"/>
      </cdr:nvSpPr>
      <cdr:spPr>
        <a:xfrm xmlns:a="http://schemas.openxmlformats.org/drawingml/2006/main">
          <a:off x="2777801" y="139896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48,0%</a:t>
          </a:r>
        </a:p>
      </cdr:txBody>
    </cdr:sp>
  </cdr:relSizeAnchor>
  <cdr:relSizeAnchor xmlns:cdr="http://schemas.openxmlformats.org/drawingml/2006/chartDrawing">
    <cdr:from>
      <cdr:x>0.76111</cdr:x>
      <cdr:y>0.05324</cdr:y>
    </cdr:from>
    <cdr:to>
      <cdr:x>0.88174</cdr:x>
      <cdr:y>0.13422</cdr:y>
    </cdr:to>
    <cdr:sp macro="" textlink="">
      <cdr:nvSpPr>
        <cdr:cNvPr id="3" name="CaixaDeTexto 14"/>
        <cdr:cNvSpPr txBox="1"/>
      </cdr:nvSpPr>
      <cdr:spPr>
        <a:xfrm xmlns:a="http://schemas.openxmlformats.org/drawingml/2006/main">
          <a:off x="4523733" y="173939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49,0%</a:t>
          </a:r>
        </a:p>
      </cdr:txBody>
    </cdr:sp>
  </cdr:relSizeAnchor>
  <cdr:relSizeAnchor xmlns:cdr="http://schemas.openxmlformats.org/drawingml/2006/chartDrawing">
    <cdr:from>
      <cdr:x>0.16349</cdr:x>
      <cdr:y>0.04383</cdr:y>
    </cdr:from>
    <cdr:to>
      <cdr:x>0.28412</cdr:x>
      <cdr:y>0.12481</cdr:y>
    </cdr:to>
    <cdr:sp macro="" textlink="">
      <cdr:nvSpPr>
        <cdr:cNvPr id="4" name="CaixaDeTexto 14"/>
        <cdr:cNvSpPr txBox="1"/>
      </cdr:nvSpPr>
      <cdr:spPr>
        <a:xfrm xmlns:a="http://schemas.openxmlformats.org/drawingml/2006/main">
          <a:off x="971719" y="143196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38,1%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5</xdr:row>
      <xdr:rowOff>123825</xdr:rowOff>
    </xdr:from>
    <xdr:to>
      <xdr:col>15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0.46736</cdr:x>
      <cdr:y>0.04282</cdr:y>
    </cdr:from>
    <cdr:to>
      <cdr:x>0.60362</cdr:x>
      <cdr:y>0.12776</cdr:y>
    </cdr:to>
    <cdr:sp macro="" textlink="">
      <cdr:nvSpPr>
        <cdr:cNvPr id="2" name="CaixaDeTexto 14"/>
        <cdr:cNvSpPr txBox="1"/>
      </cdr:nvSpPr>
      <cdr:spPr>
        <a:xfrm xmlns:a="http://schemas.openxmlformats.org/drawingml/2006/main">
          <a:off x="2568576" y="133370"/>
          <a:ext cx="748859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/>
            <a:t> = </a:t>
          </a:r>
          <a:r>
            <a:rPr lang="pt-BR" sz="1100"/>
            <a:t>31,2%</a:t>
          </a:r>
        </a:p>
      </cdr:txBody>
    </cdr:sp>
  </cdr:relSizeAnchor>
  <cdr:relSizeAnchor xmlns:cdr="http://schemas.openxmlformats.org/drawingml/2006/chartDrawing">
    <cdr:from>
      <cdr:x>0.76111</cdr:x>
      <cdr:y>0.05324</cdr:y>
    </cdr:from>
    <cdr:to>
      <cdr:x>0.89157</cdr:x>
      <cdr:y>0.13818</cdr:y>
    </cdr:to>
    <cdr:sp macro="" textlink="">
      <cdr:nvSpPr>
        <cdr:cNvPr id="3" name="CaixaDeTexto 14"/>
        <cdr:cNvSpPr txBox="1"/>
      </cdr:nvSpPr>
      <cdr:spPr>
        <a:xfrm xmlns:a="http://schemas.openxmlformats.org/drawingml/2006/main">
          <a:off x="4183003" y="165825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34,9%</a:t>
          </a:r>
        </a:p>
      </cdr:txBody>
    </cdr:sp>
  </cdr:relSizeAnchor>
  <cdr:relSizeAnchor xmlns:cdr="http://schemas.openxmlformats.org/drawingml/2006/chartDrawing">
    <cdr:from>
      <cdr:x>0.16349</cdr:x>
      <cdr:y>0.04383</cdr:y>
    </cdr:from>
    <cdr:to>
      <cdr:x>0.29395</cdr:x>
      <cdr:y>0.12877</cdr:y>
    </cdr:to>
    <cdr:sp macro="" textlink="">
      <cdr:nvSpPr>
        <cdr:cNvPr id="4" name="CaixaDeTexto 14"/>
        <cdr:cNvSpPr txBox="1"/>
      </cdr:nvSpPr>
      <cdr:spPr>
        <a:xfrm xmlns:a="http://schemas.openxmlformats.org/drawingml/2006/main">
          <a:off x="898529" y="136516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31,9%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6</xdr:row>
      <xdr:rowOff>104776</xdr:rowOff>
    </xdr:from>
    <xdr:to>
      <xdr:col>13</xdr:col>
      <xdr:colOff>504825</xdr:colOff>
      <xdr:row>22</xdr:row>
      <xdr:rowOff>66676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0.45696</cdr:x>
      <cdr:y>0.02447</cdr:y>
    </cdr:from>
    <cdr:to>
      <cdr:x>0.58501</cdr:x>
      <cdr:y>0.11237</cdr:y>
    </cdr:to>
    <cdr:sp macro="" textlink="">
      <cdr:nvSpPr>
        <cdr:cNvPr id="2" name="CaixaDeTexto 14"/>
        <cdr:cNvSpPr txBox="1"/>
      </cdr:nvSpPr>
      <cdr:spPr>
        <a:xfrm xmlns:a="http://schemas.openxmlformats.org/drawingml/2006/main">
          <a:off x="2672462" y="73652"/>
          <a:ext cx="748859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/>
            <a:t> = </a:t>
          </a:r>
          <a:r>
            <a:rPr lang="pt-BR" sz="1100"/>
            <a:t>24,9%</a:t>
          </a:r>
        </a:p>
      </cdr:txBody>
    </cdr:sp>
  </cdr:relSizeAnchor>
  <cdr:relSizeAnchor xmlns:cdr="http://schemas.openxmlformats.org/drawingml/2006/chartDrawing">
    <cdr:from>
      <cdr:x>0.76804</cdr:x>
      <cdr:y>0.03489</cdr:y>
    </cdr:from>
    <cdr:to>
      <cdr:x>0.89609</cdr:x>
      <cdr:y>0.12279</cdr:y>
    </cdr:to>
    <cdr:sp macro="" textlink="">
      <cdr:nvSpPr>
        <cdr:cNvPr id="3" name="CaixaDeTexto 14"/>
        <cdr:cNvSpPr txBox="1"/>
      </cdr:nvSpPr>
      <cdr:spPr>
        <a:xfrm xmlns:a="http://schemas.openxmlformats.org/drawingml/2006/main">
          <a:off x="4491767" y="105015"/>
          <a:ext cx="748859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/>
            <a:t> </a:t>
          </a:r>
          <a:r>
            <a:rPr lang="pt-BR" sz="1100"/>
            <a:t>= 33,7%</a:t>
          </a:r>
        </a:p>
      </cdr:txBody>
    </cdr:sp>
  </cdr:relSizeAnchor>
  <cdr:relSizeAnchor xmlns:cdr="http://schemas.openxmlformats.org/drawingml/2006/chartDrawing">
    <cdr:from>
      <cdr:x>0.16522</cdr:x>
      <cdr:y>0.01937</cdr:y>
    </cdr:from>
    <cdr:to>
      <cdr:x>0.29327</cdr:x>
      <cdr:y>0.10727</cdr:y>
    </cdr:to>
    <cdr:sp macro="" textlink="">
      <cdr:nvSpPr>
        <cdr:cNvPr id="4" name="CaixaDeTexto 14"/>
        <cdr:cNvSpPr txBox="1"/>
      </cdr:nvSpPr>
      <cdr:spPr>
        <a:xfrm xmlns:a="http://schemas.openxmlformats.org/drawingml/2006/main">
          <a:off x="966264" y="58302"/>
          <a:ext cx="748859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/>
            <a:t> </a:t>
          </a:r>
          <a:r>
            <a:rPr lang="pt-BR" sz="1100"/>
            <a:t>= 49,4%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6</xdr:row>
      <xdr:rowOff>76200</xdr:rowOff>
    </xdr:from>
    <xdr:to>
      <xdr:col>13</xdr:col>
      <xdr:colOff>552450</xdr:colOff>
      <xdr:row>22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0.46736</cdr:x>
      <cdr:y>0.04282</cdr:y>
    </cdr:from>
    <cdr:to>
      <cdr:x>0.59988</cdr:x>
      <cdr:y>0.12776</cdr:y>
    </cdr:to>
    <cdr:sp macro="" textlink="">
      <cdr:nvSpPr>
        <cdr:cNvPr id="2" name="CaixaDeTexto 14"/>
        <cdr:cNvSpPr txBox="1"/>
      </cdr:nvSpPr>
      <cdr:spPr>
        <a:xfrm xmlns:a="http://schemas.openxmlformats.org/drawingml/2006/main">
          <a:off x="2568576" y="133370"/>
          <a:ext cx="72834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/>
            <a:t>=</a:t>
          </a:r>
          <a:r>
            <a:rPr lang="pt-BR" sz="1100"/>
            <a:t>-11,9%</a:t>
          </a:r>
        </a:p>
      </cdr:txBody>
    </cdr:sp>
  </cdr:relSizeAnchor>
  <cdr:relSizeAnchor xmlns:cdr="http://schemas.openxmlformats.org/drawingml/2006/chartDrawing">
    <cdr:from>
      <cdr:x>0.76111</cdr:x>
      <cdr:y>0.05324</cdr:y>
    </cdr:from>
    <cdr:to>
      <cdr:x>0.87856</cdr:x>
      <cdr:y>0.13818</cdr:y>
    </cdr:to>
    <cdr:sp macro="" textlink="">
      <cdr:nvSpPr>
        <cdr:cNvPr id="3" name="CaixaDeTexto 14"/>
        <cdr:cNvSpPr txBox="1"/>
      </cdr:nvSpPr>
      <cdr:spPr>
        <a:xfrm xmlns:a="http://schemas.openxmlformats.org/drawingml/2006/main">
          <a:off x="4183003" y="165825"/>
          <a:ext cx="645498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0,0%</a:t>
          </a:r>
        </a:p>
      </cdr:txBody>
    </cdr:sp>
  </cdr:relSizeAnchor>
  <cdr:relSizeAnchor xmlns:cdr="http://schemas.openxmlformats.org/drawingml/2006/chartDrawing">
    <cdr:from>
      <cdr:x>0.16175</cdr:x>
      <cdr:y>0.03467</cdr:y>
    </cdr:from>
    <cdr:to>
      <cdr:x>0.29221</cdr:x>
      <cdr:y>0.11961</cdr:y>
    </cdr:to>
    <cdr:sp macro="" textlink="">
      <cdr:nvSpPr>
        <cdr:cNvPr id="4" name="CaixaDeTexto 14"/>
        <cdr:cNvSpPr txBox="1"/>
      </cdr:nvSpPr>
      <cdr:spPr>
        <a:xfrm xmlns:a="http://schemas.openxmlformats.org/drawingml/2006/main">
          <a:off x="888966" y="107986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41,1%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38101</xdr:rowOff>
    </xdr:from>
    <xdr:to>
      <xdr:col>14</xdr:col>
      <xdr:colOff>152400</xdr:colOff>
      <xdr:row>23</xdr:row>
      <xdr:rowOff>57151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0.46736</cdr:x>
      <cdr:y>0.04282</cdr:y>
    </cdr:from>
    <cdr:to>
      <cdr:x>0.59814</cdr:x>
      <cdr:y>0.12908</cdr:y>
    </cdr:to>
    <cdr:sp macro="" textlink="">
      <cdr:nvSpPr>
        <cdr:cNvPr id="2" name="CaixaDeTexto 14"/>
        <cdr:cNvSpPr txBox="1"/>
      </cdr:nvSpPr>
      <cdr:spPr>
        <a:xfrm xmlns:a="http://schemas.openxmlformats.org/drawingml/2006/main">
          <a:off x="2817865" y="131331"/>
          <a:ext cx="788486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/>
            <a:t>= 242,9</a:t>
          </a:r>
          <a:r>
            <a:rPr lang="pt-BR" sz="1100"/>
            <a:t>%</a:t>
          </a:r>
        </a:p>
      </cdr:txBody>
    </cdr:sp>
  </cdr:relSizeAnchor>
  <cdr:relSizeAnchor xmlns:cdr="http://schemas.openxmlformats.org/drawingml/2006/chartDrawing">
    <cdr:from>
      <cdr:x>0.76111</cdr:x>
      <cdr:y>0.05324</cdr:y>
    </cdr:from>
    <cdr:to>
      <cdr:x>0.89189</cdr:x>
      <cdr:y>0.1395</cdr:y>
    </cdr:to>
    <cdr:sp macro="" textlink="">
      <cdr:nvSpPr>
        <cdr:cNvPr id="3" name="CaixaDeTexto 14"/>
        <cdr:cNvSpPr txBox="1"/>
      </cdr:nvSpPr>
      <cdr:spPr>
        <a:xfrm xmlns:a="http://schemas.openxmlformats.org/drawingml/2006/main">
          <a:off x="4588980" y="163290"/>
          <a:ext cx="788486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338,5%</a:t>
          </a:r>
        </a:p>
      </cdr:txBody>
    </cdr:sp>
  </cdr:relSizeAnchor>
  <cdr:relSizeAnchor xmlns:cdr="http://schemas.openxmlformats.org/drawingml/2006/chartDrawing">
    <cdr:from>
      <cdr:x>0.16522</cdr:x>
      <cdr:y>0.01937</cdr:y>
    </cdr:from>
    <cdr:to>
      <cdr:x>0.28414</cdr:x>
      <cdr:y>0.10563</cdr:y>
    </cdr:to>
    <cdr:sp macro="" textlink="">
      <cdr:nvSpPr>
        <cdr:cNvPr id="4" name="CaixaDeTexto 14"/>
        <cdr:cNvSpPr txBox="1"/>
      </cdr:nvSpPr>
      <cdr:spPr>
        <a:xfrm xmlns:a="http://schemas.openxmlformats.org/drawingml/2006/main">
          <a:off x="996165" y="59409"/>
          <a:ext cx="71699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/>
            <a:t>Δ</a:t>
          </a:r>
          <a:r>
            <a:rPr lang="pt-BR" sz="1100"/>
            <a:t>= 54,5%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workbookViewId="0">
      <selection activeCell="B9" sqref="B9"/>
    </sheetView>
  </sheetViews>
  <sheetFormatPr defaultRowHeight="15" x14ac:dyDescent="0.25"/>
  <cols>
    <col min="1" max="1" width="22" bestFit="1" customWidth="1"/>
    <col min="2" max="2" width="10.140625" bestFit="1" customWidth="1"/>
    <col min="3" max="3" width="9.5703125" bestFit="1" customWidth="1"/>
    <col min="4" max="4" width="9.7109375" bestFit="1" customWidth="1"/>
    <col min="5" max="5" width="9" bestFit="1" customWidth="1"/>
    <col min="6" max="6" width="8.7109375" bestFit="1" customWidth="1"/>
    <col min="7" max="7" width="9" bestFit="1" customWidth="1"/>
    <col min="8" max="8" width="7" bestFit="1" customWidth="1"/>
  </cols>
  <sheetData>
    <row r="1" spans="1:15" x14ac:dyDescent="0.25">
      <c r="A1" s="1" t="s">
        <v>9</v>
      </c>
    </row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L2" s="16" t="s">
        <v>30</v>
      </c>
      <c r="M2" s="16"/>
      <c r="N2" s="16"/>
      <c r="O2" s="16"/>
    </row>
    <row r="3" spans="1:15" x14ac:dyDescent="0.25">
      <c r="A3" t="s">
        <v>7</v>
      </c>
      <c r="B3">
        <v>34.08</v>
      </c>
      <c r="C3">
        <v>9.2100000000000009</v>
      </c>
      <c r="D3">
        <v>0.79</v>
      </c>
      <c r="E3">
        <v>36.630000000000003</v>
      </c>
      <c r="F3">
        <v>0.94</v>
      </c>
      <c r="G3">
        <v>3.88</v>
      </c>
      <c r="H3">
        <v>85.53</v>
      </c>
      <c r="L3" s="16"/>
      <c r="M3" s="16"/>
      <c r="N3" s="16"/>
      <c r="O3" s="16"/>
    </row>
    <row r="4" spans="1:15" x14ac:dyDescent="0.25">
      <c r="A4" t="s">
        <v>8</v>
      </c>
      <c r="B4" s="5">
        <v>6</v>
      </c>
      <c r="C4" s="5">
        <v>1.8</v>
      </c>
      <c r="D4" s="5">
        <v>0.22</v>
      </c>
      <c r="E4" s="5">
        <v>5.87</v>
      </c>
      <c r="F4" s="5">
        <v>0.11</v>
      </c>
      <c r="G4" s="5">
        <v>0.47</v>
      </c>
      <c r="H4" s="5">
        <v>14.47</v>
      </c>
      <c r="L4" s="16"/>
      <c r="M4" s="16"/>
      <c r="N4" s="16"/>
      <c r="O4" s="16"/>
    </row>
    <row r="5" spans="1:15" x14ac:dyDescent="0.25">
      <c r="A5" t="s">
        <v>6</v>
      </c>
      <c r="B5">
        <v>40.08</v>
      </c>
      <c r="C5">
        <v>11</v>
      </c>
      <c r="D5">
        <v>1.01</v>
      </c>
      <c r="E5">
        <v>42.5</v>
      </c>
      <c r="F5">
        <v>1.05</v>
      </c>
      <c r="G5">
        <v>4.3499999999999996</v>
      </c>
      <c r="H5">
        <v>100</v>
      </c>
      <c r="L5" s="16"/>
      <c r="M5" s="16"/>
      <c r="N5" s="16"/>
      <c r="O5" s="16"/>
    </row>
    <row r="6" spans="1:15" x14ac:dyDescent="0.25">
      <c r="L6" s="16"/>
      <c r="M6" s="16"/>
      <c r="N6" s="16"/>
      <c r="O6" s="16"/>
    </row>
    <row r="7" spans="1:15" x14ac:dyDescent="0.25">
      <c r="A7" s="1" t="s">
        <v>13</v>
      </c>
    </row>
    <row r="8" spans="1:15" x14ac:dyDescent="0.25">
      <c r="B8" t="s">
        <v>10</v>
      </c>
      <c r="C8" t="s">
        <v>11</v>
      </c>
      <c r="D8" t="s">
        <v>12</v>
      </c>
      <c r="E8" t="s">
        <v>5</v>
      </c>
      <c r="F8" t="s">
        <v>6</v>
      </c>
    </row>
    <row r="9" spans="1:15" x14ac:dyDescent="0.25">
      <c r="A9" t="s">
        <v>7</v>
      </c>
      <c r="B9">
        <v>58.55</v>
      </c>
      <c r="C9">
        <v>17.670000000000002</v>
      </c>
      <c r="D9">
        <v>4.7699999999999996</v>
      </c>
      <c r="E9">
        <v>4.54</v>
      </c>
      <c r="F9">
        <v>85.53</v>
      </c>
    </row>
    <row r="10" spans="1:15" x14ac:dyDescent="0.25">
      <c r="A10" t="s">
        <v>8</v>
      </c>
      <c r="B10">
        <v>10.64</v>
      </c>
      <c r="C10">
        <v>2.36</v>
      </c>
      <c r="D10">
        <v>0.82</v>
      </c>
      <c r="E10">
        <v>0.65</v>
      </c>
      <c r="F10">
        <v>14.47</v>
      </c>
    </row>
    <row r="11" spans="1:15" x14ac:dyDescent="0.25">
      <c r="A11" t="s">
        <v>6</v>
      </c>
      <c r="B11">
        <v>69.19</v>
      </c>
      <c r="C11">
        <v>20.02</v>
      </c>
      <c r="D11">
        <v>5.59</v>
      </c>
      <c r="E11">
        <v>5.2</v>
      </c>
      <c r="F11">
        <v>100</v>
      </c>
    </row>
    <row r="13" spans="1:15" x14ac:dyDescent="0.25">
      <c r="A13" t="s">
        <v>22</v>
      </c>
    </row>
    <row r="17" spans="1:8" x14ac:dyDescent="0.25">
      <c r="A17" s="1" t="s">
        <v>14</v>
      </c>
    </row>
    <row r="18" spans="1:8" x14ac:dyDescent="0.25">
      <c r="B18" t="s">
        <v>15</v>
      </c>
      <c r="C18" t="s">
        <v>31</v>
      </c>
      <c r="D18" t="s">
        <v>16</v>
      </c>
      <c r="E18" t="s">
        <v>17</v>
      </c>
      <c r="F18" t="s">
        <v>32</v>
      </c>
      <c r="G18" t="s">
        <v>5</v>
      </c>
      <c r="H18" t="s">
        <v>6</v>
      </c>
    </row>
    <row r="19" spans="1:8" x14ac:dyDescent="0.25">
      <c r="A19" t="s">
        <v>7</v>
      </c>
      <c r="B19">
        <v>53.29</v>
      </c>
      <c r="C19">
        <v>22.17</v>
      </c>
      <c r="D19" s="5">
        <v>1</v>
      </c>
      <c r="E19">
        <v>2.56</v>
      </c>
      <c r="F19">
        <v>1.8</v>
      </c>
      <c r="G19">
        <v>4.68</v>
      </c>
      <c r="H19">
        <v>85.5</v>
      </c>
    </row>
    <row r="20" spans="1:8" x14ac:dyDescent="0.25">
      <c r="A20" t="s">
        <v>8</v>
      </c>
      <c r="B20">
        <v>11.34</v>
      </c>
      <c r="C20">
        <v>1.84</v>
      </c>
      <c r="D20">
        <v>0.25</v>
      </c>
      <c r="E20">
        <v>0.49</v>
      </c>
      <c r="F20">
        <v>0.3</v>
      </c>
      <c r="G20">
        <v>0.28000000000000003</v>
      </c>
      <c r="H20">
        <v>14.5</v>
      </c>
    </row>
    <row r="21" spans="1:8" x14ac:dyDescent="0.25">
      <c r="A21" t="s">
        <v>6</v>
      </c>
      <c r="B21">
        <v>64.63</v>
      </c>
      <c r="C21">
        <v>24.01</v>
      </c>
      <c r="D21">
        <v>1.25</v>
      </c>
      <c r="E21">
        <v>3.05</v>
      </c>
      <c r="F21">
        <v>2.1</v>
      </c>
      <c r="G21">
        <v>4.96</v>
      </c>
      <c r="H21">
        <v>100</v>
      </c>
    </row>
    <row r="23" spans="1:8" x14ac:dyDescent="0.25">
      <c r="A23" s="1" t="s">
        <v>18</v>
      </c>
    </row>
    <row r="24" spans="1:8" x14ac:dyDescent="0.25">
      <c r="B24" t="s">
        <v>19</v>
      </c>
      <c r="C24" t="s">
        <v>20</v>
      </c>
      <c r="D24" t="s">
        <v>21</v>
      </c>
      <c r="E24" t="s">
        <v>6</v>
      </c>
    </row>
    <row r="25" spans="1:8" x14ac:dyDescent="0.25">
      <c r="A25" t="s">
        <v>7</v>
      </c>
      <c r="B25">
        <v>50.69</v>
      </c>
      <c r="C25">
        <v>7.0000000000000007E-2</v>
      </c>
      <c r="D25">
        <v>34.79</v>
      </c>
      <c r="E25">
        <v>85.56</v>
      </c>
    </row>
    <row r="26" spans="1:8" x14ac:dyDescent="0.25">
      <c r="A26" t="s">
        <v>8</v>
      </c>
      <c r="B26">
        <v>11.85</v>
      </c>
      <c r="C26">
        <v>0.04</v>
      </c>
      <c r="D26">
        <v>2.56</v>
      </c>
      <c r="E26">
        <v>14.44</v>
      </c>
    </row>
    <row r="27" spans="1:8" x14ac:dyDescent="0.25">
      <c r="A27" t="s">
        <v>6</v>
      </c>
      <c r="B27">
        <v>62.54</v>
      </c>
      <c r="C27">
        <v>0.11</v>
      </c>
      <c r="D27">
        <v>37.35</v>
      </c>
      <c r="E27">
        <v>100</v>
      </c>
    </row>
  </sheetData>
  <mergeCells count="1">
    <mergeCell ref="L2:O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selection activeCell="B3" sqref="B3"/>
    </sheetView>
  </sheetViews>
  <sheetFormatPr defaultRowHeight="15" x14ac:dyDescent="0.25"/>
  <cols>
    <col min="1" max="1" width="22" bestFit="1" customWidth="1"/>
    <col min="2" max="2" width="10" bestFit="1" customWidth="1"/>
    <col min="3" max="3" width="10.5703125" bestFit="1" customWidth="1"/>
    <col min="4" max="4" width="9.5703125" bestFit="1" customWidth="1"/>
    <col min="5" max="5" width="9.28515625" bestFit="1" customWidth="1"/>
    <col min="6" max="6" width="8.5703125" bestFit="1" customWidth="1"/>
    <col min="7" max="8" width="8.85546875" bestFit="1" customWidth="1"/>
  </cols>
  <sheetData>
    <row r="1" spans="1:15" x14ac:dyDescent="0.25">
      <c r="A1" s="1" t="s">
        <v>9</v>
      </c>
    </row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L2" s="16" t="s">
        <v>30</v>
      </c>
      <c r="M2" s="16"/>
      <c r="N2" s="16"/>
      <c r="O2" s="16"/>
    </row>
    <row r="3" spans="1:15" x14ac:dyDescent="0.25">
      <c r="A3" t="s">
        <v>7</v>
      </c>
      <c r="B3">
        <v>31.35</v>
      </c>
      <c r="C3">
        <v>10.039999999999999</v>
      </c>
      <c r="D3">
        <v>0.46</v>
      </c>
      <c r="E3">
        <v>35.340000000000003</v>
      </c>
      <c r="F3">
        <v>0.87</v>
      </c>
      <c r="G3">
        <v>3.74</v>
      </c>
      <c r="H3">
        <v>81.790000000000006</v>
      </c>
      <c r="L3" s="16"/>
      <c r="M3" s="16"/>
      <c r="N3" s="16"/>
      <c r="O3" s="16"/>
    </row>
    <row r="4" spans="1:15" x14ac:dyDescent="0.25">
      <c r="A4" t="s">
        <v>8</v>
      </c>
      <c r="B4">
        <v>7.47</v>
      </c>
      <c r="C4">
        <v>2.48</v>
      </c>
      <c r="D4">
        <v>0.1</v>
      </c>
      <c r="E4">
        <v>7.44</v>
      </c>
      <c r="F4">
        <v>0.22</v>
      </c>
      <c r="G4">
        <v>0.49</v>
      </c>
      <c r="H4">
        <v>18.21</v>
      </c>
      <c r="L4" s="16"/>
      <c r="M4" s="16"/>
      <c r="N4" s="16"/>
      <c r="O4" s="16"/>
    </row>
    <row r="5" spans="1:15" x14ac:dyDescent="0.25">
      <c r="A5" t="s">
        <v>6</v>
      </c>
      <c r="B5">
        <v>38.82</v>
      </c>
      <c r="C5">
        <v>12.52</v>
      </c>
      <c r="D5">
        <v>0.56000000000000005</v>
      </c>
      <c r="E5">
        <v>42.78</v>
      </c>
      <c r="F5">
        <v>1.0900000000000001</v>
      </c>
      <c r="G5">
        <v>4.2300000000000004</v>
      </c>
      <c r="H5">
        <v>100</v>
      </c>
      <c r="L5" s="16"/>
      <c r="M5" s="16"/>
      <c r="N5" s="16"/>
      <c r="O5" s="16"/>
    </row>
    <row r="6" spans="1:15" x14ac:dyDescent="0.25">
      <c r="L6" s="16"/>
      <c r="M6" s="16"/>
      <c r="N6" s="16"/>
      <c r="O6" s="16"/>
    </row>
    <row r="8" spans="1:15" x14ac:dyDescent="0.25">
      <c r="A8" s="1" t="s">
        <v>13</v>
      </c>
    </row>
    <row r="9" spans="1:15" x14ac:dyDescent="0.25">
      <c r="B9" t="s">
        <v>10</v>
      </c>
      <c r="C9" t="s">
        <v>11</v>
      </c>
      <c r="D9" t="s">
        <v>12</v>
      </c>
      <c r="E9" t="s">
        <v>5</v>
      </c>
      <c r="F9" t="s">
        <v>6</v>
      </c>
    </row>
    <row r="10" spans="1:15" x14ac:dyDescent="0.25">
      <c r="A10" t="s">
        <v>7</v>
      </c>
      <c r="B10">
        <v>56.04</v>
      </c>
      <c r="C10">
        <v>17.02</v>
      </c>
      <c r="D10">
        <v>3.92</v>
      </c>
      <c r="E10">
        <v>4.82</v>
      </c>
      <c r="F10">
        <v>81.81</v>
      </c>
    </row>
    <row r="11" spans="1:15" x14ac:dyDescent="0.25">
      <c r="A11" t="s">
        <v>8</v>
      </c>
      <c r="B11" s="4">
        <v>14</v>
      </c>
      <c r="C11" s="4">
        <v>2.5499999999999998</v>
      </c>
      <c r="D11" s="4">
        <v>0.85</v>
      </c>
      <c r="E11" s="4">
        <v>0.8</v>
      </c>
      <c r="F11" s="4">
        <v>18.190000000000001</v>
      </c>
    </row>
    <row r="12" spans="1:15" x14ac:dyDescent="0.25">
      <c r="A12" t="s">
        <v>6</v>
      </c>
      <c r="B12">
        <v>70.040000000000006</v>
      </c>
      <c r="C12">
        <v>19.57</v>
      </c>
      <c r="D12">
        <v>4.7699999999999996</v>
      </c>
      <c r="E12">
        <v>5.62</v>
      </c>
      <c r="F12">
        <v>100</v>
      </c>
    </row>
    <row r="15" spans="1:15" x14ac:dyDescent="0.25">
      <c r="A15" s="1" t="s">
        <v>23</v>
      </c>
    </row>
    <row r="16" spans="1:15" x14ac:dyDescent="0.25">
      <c r="B16" t="s">
        <v>24</v>
      </c>
      <c r="C16" t="s">
        <v>25</v>
      </c>
      <c r="D16" t="s">
        <v>26</v>
      </c>
      <c r="E16" t="s">
        <v>5</v>
      </c>
      <c r="F16" t="s">
        <v>6</v>
      </c>
    </row>
    <row r="17" spans="1:8" x14ac:dyDescent="0.25">
      <c r="A17" t="s">
        <v>7</v>
      </c>
    </row>
    <row r="18" spans="1:8" x14ac:dyDescent="0.25">
      <c r="A18" t="s">
        <v>8</v>
      </c>
    </row>
    <row r="19" spans="1:8" x14ac:dyDescent="0.25">
      <c r="A19" s="1" t="s">
        <v>6</v>
      </c>
    </row>
    <row r="22" spans="1:8" x14ac:dyDescent="0.25">
      <c r="A22" s="1" t="s">
        <v>14</v>
      </c>
    </row>
    <row r="23" spans="1:8" x14ac:dyDescent="0.25">
      <c r="B23" t="s">
        <v>15</v>
      </c>
      <c r="C23" t="s">
        <v>31</v>
      </c>
      <c r="D23" t="s">
        <v>16</v>
      </c>
      <c r="E23" t="s">
        <v>17</v>
      </c>
      <c r="F23" t="s">
        <v>32</v>
      </c>
      <c r="G23" t="s">
        <v>5</v>
      </c>
      <c r="H23" t="s">
        <v>6</v>
      </c>
    </row>
    <row r="24" spans="1:8" x14ac:dyDescent="0.25">
      <c r="A24" t="s">
        <v>7</v>
      </c>
      <c r="B24">
        <v>52.47</v>
      </c>
      <c r="C24">
        <v>19.829999999999998</v>
      </c>
      <c r="D24">
        <v>0.86</v>
      </c>
      <c r="E24">
        <v>2.16</v>
      </c>
      <c r="F24">
        <v>1.73</v>
      </c>
      <c r="G24">
        <v>4.67</v>
      </c>
      <c r="H24">
        <v>81.72</v>
      </c>
    </row>
    <row r="25" spans="1:8" x14ac:dyDescent="0.25">
      <c r="A25" t="s">
        <v>8</v>
      </c>
      <c r="B25">
        <v>13.98</v>
      </c>
      <c r="C25">
        <v>2.4900000000000002</v>
      </c>
      <c r="D25">
        <v>0.14000000000000001</v>
      </c>
      <c r="E25">
        <v>0.79</v>
      </c>
      <c r="F25">
        <v>0.34</v>
      </c>
      <c r="G25">
        <v>0.55000000000000004</v>
      </c>
      <c r="H25">
        <v>18.28</v>
      </c>
    </row>
    <row r="26" spans="1:8" x14ac:dyDescent="0.25">
      <c r="A26" t="s">
        <v>6</v>
      </c>
      <c r="B26">
        <v>66.45</v>
      </c>
      <c r="C26">
        <v>22.32</v>
      </c>
      <c r="D26">
        <v>0.99</v>
      </c>
      <c r="E26">
        <v>2.95</v>
      </c>
      <c r="F26">
        <v>2.08</v>
      </c>
      <c r="G26">
        <v>5.21</v>
      </c>
      <c r="H26">
        <v>100</v>
      </c>
    </row>
    <row r="29" spans="1:8" x14ac:dyDescent="0.25">
      <c r="A29" s="1" t="s">
        <v>18</v>
      </c>
    </row>
    <row r="30" spans="1:8" x14ac:dyDescent="0.25">
      <c r="B30" t="s">
        <v>19</v>
      </c>
      <c r="C30" t="s">
        <v>20</v>
      </c>
      <c r="D30" t="s">
        <v>21</v>
      </c>
      <c r="E30" t="s">
        <v>6</v>
      </c>
    </row>
    <row r="31" spans="1:8" x14ac:dyDescent="0.25">
      <c r="A31" t="s">
        <v>7</v>
      </c>
      <c r="B31">
        <v>47.79</v>
      </c>
      <c r="C31">
        <v>0.12</v>
      </c>
      <c r="D31">
        <v>33.909999999999997</v>
      </c>
      <c r="E31">
        <v>81.819999999999993</v>
      </c>
    </row>
    <row r="32" spans="1:8" x14ac:dyDescent="0.25">
      <c r="A32" t="s">
        <v>8</v>
      </c>
      <c r="B32">
        <v>14.76</v>
      </c>
      <c r="C32">
        <v>0.02</v>
      </c>
      <c r="D32">
        <v>3.4</v>
      </c>
      <c r="E32">
        <v>18.18</v>
      </c>
    </row>
    <row r="33" spans="1:5" x14ac:dyDescent="0.25">
      <c r="A33" t="s">
        <v>6</v>
      </c>
      <c r="B33">
        <v>62.55</v>
      </c>
      <c r="C33">
        <v>0.14000000000000001</v>
      </c>
      <c r="D33">
        <v>37.31</v>
      </c>
      <c r="E33">
        <v>100</v>
      </c>
    </row>
  </sheetData>
  <mergeCells count="1">
    <mergeCell ref="L2:O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selection sqref="A1:XFD1048576"/>
    </sheetView>
  </sheetViews>
  <sheetFormatPr defaultRowHeight="15" x14ac:dyDescent="0.25"/>
  <cols>
    <col min="1" max="1" width="22" bestFit="1" customWidth="1"/>
    <col min="2" max="2" width="10" bestFit="1" customWidth="1"/>
    <col min="3" max="3" width="10.5703125" bestFit="1" customWidth="1"/>
    <col min="4" max="4" width="15.140625" bestFit="1" customWidth="1"/>
    <col min="5" max="5" width="9.28515625" bestFit="1" customWidth="1"/>
    <col min="6" max="6" width="8.5703125" bestFit="1" customWidth="1"/>
    <col min="7" max="8" width="8.85546875" bestFit="1" customWidth="1"/>
  </cols>
  <sheetData>
    <row r="1" spans="1:15" x14ac:dyDescent="0.25">
      <c r="A1" s="1" t="s">
        <v>9</v>
      </c>
    </row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L2" s="16" t="s">
        <v>30</v>
      </c>
      <c r="M2" s="16"/>
      <c r="N2" s="16"/>
      <c r="O2" s="16"/>
    </row>
    <row r="3" spans="1:15" x14ac:dyDescent="0.25">
      <c r="A3" t="s">
        <v>7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L3" s="16"/>
      <c r="M3" s="16"/>
      <c r="N3" s="16"/>
      <c r="O3" s="16"/>
    </row>
    <row r="4" spans="1:15" x14ac:dyDescent="0.25">
      <c r="A4" t="s">
        <v>8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L4" s="16"/>
      <c r="M4" s="16"/>
      <c r="N4" s="16"/>
      <c r="O4" s="16"/>
    </row>
    <row r="5" spans="1:15" x14ac:dyDescent="0.25">
      <c r="A5" t="s">
        <v>6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L5" s="16"/>
      <c r="M5" s="16"/>
      <c r="N5" s="16"/>
      <c r="O5" s="16"/>
    </row>
    <row r="6" spans="1:15" x14ac:dyDescent="0.25">
      <c r="L6" s="16"/>
      <c r="M6" s="16"/>
      <c r="N6" s="16"/>
      <c r="O6" s="16"/>
    </row>
    <row r="8" spans="1:15" x14ac:dyDescent="0.25">
      <c r="A8" s="1" t="s">
        <v>13</v>
      </c>
    </row>
    <row r="9" spans="1:15" x14ac:dyDescent="0.25">
      <c r="B9" t="s">
        <v>10</v>
      </c>
      <c r="C9" t="s">
        <v>11</v>
      </c>
      <c r="D9" t="s">
        <v>85</v>
      </c>
      <c r="E9" t="s">
        <v>5</v>
      </c>
      <c r="F9" t="s">
        <v>6</v>
      </c>
    </row>
    <row r="10" spans="1:15" x14ac:dyDescent="0.25">
      <c r="A10" t="s">
        <v>7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</row>
    <row r="11" spans="1:15" x14ac:dyDescent="0.25">
      <c r="A11" t="s">
        <v>8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</row>
    <row r="12" spans="1:15" x14ac:dyDescent="0.25">
      <c r="A12" t="s">
        <v>6</v>
      </c>
      <c r="B12" t="s">
        <v>96</v>
      </c>
      <c r="C12" t="s">
        <v>97</v>
      </c>
      <c r="D12" t="s">
        <v>98</v>
      </c>
      <c r="E12" t="s">
        <v>99</v>
      </c>
      <c r="F12" t="s">
        <v>61</v>
      </c>
    </row>
    <row r="15" spans="1:15" x14ac:dyDescent="0.25">
      <c r="A15" s="1" t="s">
        <v>23</v>
      </c>
    </row>
    <row r="16" spans="1:15" x14ac:dyDescent="0.25">
      <c r="B16" t="s">
        <v>24</v>
      </c>
      <c r="C16" t="s">
        <v>25</v>
      </c>
      <c r="D16" t="s">
        <v>26</v>
      </c>
      <c r="E16" t="s">
        <v>5</v>
      </c>
      <c r="F16" t="s">
        <v>6</v>
      </c>
    </row>
    <row r="17" spans="1:8" x14ac:dyDescent="0.25">
      <c r="A17" t="s">
        <v>7</v>
      </c>
    </row>
    <row r="18" spans="1:8" x14ac:dyDescent="0.25">
      <c r="A18" t="s">
        <v>8</v>
      </c>
    </row>
    <row r="19" spans="1:8" x14ac:dyDescent="0.25">
      <c r="A19" s="1" t="s">
        <v>6</v>
      </c>
    </row>
    <row r="22" spans="1:8" x14ac:dyDescent="0.25">
      <c r="A22" s="1" t="s">
        <v>14</v>
      </c>
    </row>
    <row r="23" spans="1:8" x14ac:dyDescent="0.25">
      <c r="B23" t="s">
        <v>15</v>
      </c>
      <c r="C23" t="s">
        <v>31</v>
      </c>
      <c r="D23" t="s">
        <v>16</v>
      </c>
      <c r="E23" t="s">
        <v>17</v>
      </c>
      <c r="F23" t="s">
        <v>32</v>
      </c>
      <c r="G23" t="s">
        <v>5</v>
      </c>
      <c r="H23" t="s">
        <v>6</v>
      </c>
    </row>
    <row r="24" spans="1:8" x14ac:dyDescent="0.25">
      <c r="A24" t="s">
        <v>7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</row>
    <row r="25" spans="1:8" x14ac:dyDescent="0.25">
      <c r="A25" t="s">
        <v>8</v>
      </c>
      <c r="B25" t="s">
        <v>107</v>
      </c>
      <c r="C25" t="s">
        <v>62</v>
      </c>
      <c r="D25" t="s">
        <v>108</v>
      </c>
      <c r="E25" t="s">
        <v>109</v>
      </c>
      <c r="F25" t="s">
        <v>108</v>
      </c>
      <c r="G25" t="s">
        <v>110</v>
      </c>
      <c r="H25" t="s">
        <v>97</v>
      </c>
    </row>
    <row r="26" spans="1:8" x14ac:dyDescent="0.25">
      <c r="A26" t="s">
        <v>6</v>
      </c>
      <c r="B26" t="s">
        <v>111</v>
      </c>
      <c r="C26" t="s">
        <v>112</v>
      </c>
      <c r="D26" t="s">
        <v>113</v>
      </c>
      <c r="E26" t="s">
        <v>114</v>
      </c>
      <c r="F26" t="s">
        <v>115</v>
      </c>
      <c r="G26" t="s">
        <v>116</v>
      </c>
      <c r="H26" t="s">
        <v>61</v>
      </c>
    </row>
    <row r="29" spans="1:8" x14ac:dyDescent="0.25">
      <c r="A29" s="1" t="s">
        <v>18</v>
      </c>
    </row>
    <row r="30" spans="1:8" x14ac:dyDescent="0.25">
      <c r="B30" t="s">
        <v>19</v>
      </c>
      <c r="C30" t="s">
        <v>20</v>
      </c>
      <c r="D30" t="s">
        <v>21</v>
      </c>
      <c r="E30" t="s">
        <v>6</v>
      </c>
    </row>
    <row r="31" spans="1:8" x14ac:dyDescent="0.25">
      <c r="A31" t="s">
        <v>7</v>
      </c>
      <c r="B31" t="s">
        <v>117</v>
      </c>
      <c r="D31" t="s">
        <v>118</v>
      </c>
      <c r="E31" t="s">
        <v>90</v>
      </c>
    </row>
    <row r="32" spans="1:8" x14ac:dyDescent="0.25">
      <c r="A32" t="s">
        <v>8</v>
      </c>
      <c r="B32" t="s">
        <v>63</v>
      </c>
      <c r="D32" t="s">
        <v>119</v>
      </c>
      <c r="E32" t="s">
        <v>95</v>
      </c>
    </row>
    <row r="33" spans="1:5" x14ac:dyDescent="0.25">
      <c r="A33" t="s">
        <v>6</v>
      </c>
      <c r="B33" t="s">
        <v>120</v>
      </c>
      <c r="D33" t="s">
        <v>121</v>
      </c>
      <c r="E33" t="s">
        <v>61</v>
      </c>
    </row>
  </sheetData>
  <mergeCells count="1">
    <mergeCell ref="L2:O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1"/>
  <sheetViews>
    <sheetView tabSelected="1" workbookViewId="0">
      <selection activeCell="H34" sqref="H34"/>
    </sheetView>
  </sheetViews>
  <sheetFormatPr defaultRowHeight="15" x14ac:dyDescent="0.25"/>
  <cols>
    <col min="1" max="1" width="58.28515625" bestFit="1" customWidth="1"/>
    <col min="2" max="2" width="10" bestFit="1" customWidth="1"/>
    <col min="3" max="3" width="24" bestFit="1" customWidth="1"/>
    <col min="4" max="4" width="15.140625" bestFit="1" customWidth="1"/>
    <col min="5" max="5" width="9.28515625" bestFit="1" customWidth="1"/>
    <col min="6" max="6" width="12.85546875" bestFit="1" customWidth="1"/>
    <col min="7" max="7" width="8.85546875" bestFit="1" customWidth="1"/>
    <col min="8" max="8" width="6.5703125" bestFit="1" customWidth="1"/>
  </cols>
  <sheetData>
    <row r="1" spans="1:15" x14ac:dyDescent="0.25">
      <c r="C1" s="17">
        <v>2023</v>
      </c>
      <c r="D1" s="17"/>
      <c r="E1" s="17"/>
    </row>
    <row r="2" spans="1:15" x14ac:dyDescent="0.25">
      <c r="C2" s="17"/>
      <c r="D2" s="17"/>
      <c r="E2" s="17"/>
    </row>
    <row r="3" spans="1:15" x14ac:dyDescent="0.25">
      <c r="A3" s="1" t="s">
        <v>9</v>
      </c>
    </row>
    <row r="4" spans="1:15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L4" s="16" t="s">
        <v>30</v>
      </c>
      <c r="M4" s="16"/>
      <c r="N4" s="16"/>
      <c r="O4" s="16"/>
    </row>
    <row r="5" spans="1:15" x14ac:dyDescent="0.25">
      <c r="A5" t="s">
        <v>122</v>
      </c>
      <c r="B5" s="12" t="s">
        <v>130</v>
      </c>
      <c r="C5" s="12" t="s">
        <v>131</v>
      </c>
      <c r="D5" s="12" t="s">
        <v>132</v>
      </c>
      <c r="E5" s="12" t="s">
        <v>133</v>
      </c>
      <c r="F5" s="12" t="s">
        <v>134</v>
      </c>
      <c r="G5" s="12" t="s">
        <v>135</v>
      </c>
      <c r="H5" s="12" t="s">
        <v>136</v>
      </c>
      <c r="L5" s="16"/>
      <c r="M5" s="16"/>
      <c r="N5" s="16"/>
      <c r="O5" s="16"/>
    </row>
    <row r="6" spans="1:15" x14ac:dyDescent="0.25">
      <c r="A6" t="s">
        <v>8</v>
      </c>
      <c r="B6" s="12" t="s">
        <v>137</v>
      </c>
      <c r="C6" s="12" t="s">
        <v>138</v>
      </c>
      <c r="D6" s="12" t="s">
        <v>139</v>
      </c>
      <c r="E6" s="12" t="s">
        <v>140</v>
      </c>
      <c r="F6" s="12" t="s">
        <v>141</v>
      </c>
      <c r="G6" s="12" t="s">
        <v>142</v>
      </c>
      <c r="H6" s="12" t="s">
        <v>143</v>
      </c>
      <c r="L6" s="16"/>
      <c r="M6" s="16"/>
      <c r="N6" s="16"/>
      <c r="O6" s="16"/>
    </row>
    <row r="7" spans="1:15" x14ac:dyDescent="0.25">
      <c r="A7" t="s">
        <v>6</v>
      </c>
      <c r="B7" s="12" t="s">
        <v>144</v>
      </c>
      <c r="C7" s="12" t="s">
        <v>145</v>
      </c>
      <c r="D7" s="12" t="s">
        <v>146</v>
      </c>
      <c r="E7" s="12" t="s">
        <v>147</v>
      </c>
      <c r="F7" s="12" t="s">
        <v>148</v>
      </c>
      <c r="G7" s="12" t="s">
        <v>149</v>
      </c>
      <c r="H7" s="12" t="s">
        <v>150</v>
      </c>
      <c r="L7" s="16"/>
      <c r="M7" s="16"/>
      <c r="N7" s="16"/>
      <c r="O7" s="16"/>
    </row>
    <row r="8" spans="1:15" x14ac:dyDescent="0.25">
      <c r="L8" s="16"/>
      <c r="M8" s="16"/>
      <c r="N8" s="16"/>
      <c r="O8" s="16"/>
    </row>
    <row r="10" spans="1:15" x14ac:dyDescent="0.25">
      <c r="A10" s="1" t="s">
        <v>13</v>
      </c>
    </row>
    <row r="11" spans="1:15" x14ac:dyDescent="0.25">
      <c r="B11" t="s">
        <v>10</v>
      </c>
      <c r="C11" t="s">
        <v>11</v>
      </c>
      <c r="D11" t="s">
        <v>85</v>
      </c>
      <c r="E11" t="s">
        <v>5</v>
      </c>
      <c r="F11" t="s">
        <v>6</v>
      </c>
      <c r="G11" s="15"/>
      <c r="H11" s="15"/>
      <c r="I11" s="15"/>
      <c r="J11" s="15"/>
      <c r="K11" s="15"/>
      <c r="L11" s="15"/>
    </row>
    <row r="12" spans="1:15" x14ac:dyDescent="0.25">
      <c r="A12" t="s">
        <v>122</v>
      </c>
      <c r="B12" s="12" t="s">
        <v>151</v>
      </c>
      <c r="C12" s="12" t="s">
        <v>152</v>
      </c>
      <c r="D12" s="12" t="s">
        <v>153</v>
      </c>
      <c r="E12" s="12" t="s">
        <v>154</v>
      </c>
      <c r="F12" s="12" t="s">
        <v>136</v>
      </c>
    </row>
    <row r="13" spans="1:15" x14ac:dyDescent="0.25">
      <c r="A13" t="s">
        <v>8</v>
      </c>
      <c r="B13" s="12" t="s">
        <v>155</v>
      </c>
      <c r="C13" s="12" t="s">
        <v>156</v>
      </c>
      <c r="D13" s="12" t="s">
        <v>157</v>
      </c>
      <c r="E13" s="12" t="s">
        <v>134</v>
      </c>
      <c r="F13" s="12" t="s">
        <v>143</v>
      </c>
    </row>
    <row r="14" spans="1:15" x14ac:dyDescent="0.25">
      <c r="A14" t="s">
        <v>6</v>
      </c>
      <c r="B14" s="12" t="s">
        <v>158</v>
      </c>
      <c r="C14" s="12" t="s">
        <v>159</v>
      </c>
      <c r="D14" s="12" t="s">
        <v>160</v>
      </c>
      <c r="E14" s="12" t="s">
        <v>161</v>
      </c>
      <c r="F14" s="14" t="s">
        <v>150</v>
      </c>
    </row>
    <row r="17" spans="1:8" x14ac:dyDescent="0.25">
      <c r="A17" s="1" t="s">
        <v>23</v>
      </c>
    </row>
    <row r="18" spans="1:8" x14ac:dyDescent="0.25">
      <c r="B18" t="s">
        <v>24</v>
      </c>
      <c r="C18" t="s">
        <v>25</v>
      </c>
      <c r="D18" t="s">
        <v>26</v>
      </c>
      <c r="E18" t="s">
        <v>5</v>
      </c>
      <c r="F18" t="s">
        <v>6</v>
      </c>
    </row>
    <row r="19" spans="1:8" x14ac:dyDescent="0.25">
      <c r="A19" t="s">
        <v>7</v>
      </c>
      <c r="B19" s="18" t="s">
        <v>127</v>
      </c>
      <c r="C19" s="18"/>
      <c r="D19" s="18"/>
      <c r="E19" s="18"/>
      <c r="F19" s="18"/>
    </row>
    <row r="20" spans="1:8" x14ac:dyDescent="0.25">
      <c r="A20" t="s">
        <v>8</v>
      </c>
      <c r="B20" s="18"/>
      <c r="C20" s="18"/>
      <c r="D20" s="18"/>
      <c r="E20" s="18"/>
      <c r="F20" s="18"/>
    </row>
    <row r="21" spans="1:8" x14ac:dyDescent="0.25">
      <c r="A21" s="1" t="s">
        <v>6</v>
      </c>
      <c r="B21" s="18"/>
      <c r="C21" s="18"/>
      <c r="D21" s="18"/>
      <c r="E21" s="18"/>
      <c r="F21" s="18"/>
    </row>
    <row r="24" spans="1:8" x14ac:dyDescent="0.25">
      <c r="A24" s="1" t="s">
        <v>14</v>
      </c>
    </row>
    <row r="25" spans="1:8" x14ac:dyDescent="0.25">
      <c r="B25" t="s">
        <v>15</v>
      </c>
      <c r="C25" t="s">
        <v>31</v>
      </c>
      <c r="D25" t="s">
        <v>16</v>
      </c>
      <c r="E25" t="s">
        <v>17</v>
      </c>
      <c r="F25" t="s">
        <v>32</v>
      </c>
      <c r="G25" t="s">
        <v>5</v>
      </c>
      <c r="H25" t="s">
        <v>6</v>
      </c>
    </row>
    <row r="26" spans="1:8" x14ac:dyDescent="0.25">
      <c r="A26" t="s">
        <v>122</v>
      </c>
      <c r="B26" s="12" t="s">
        <v>162</v>
      </c>
      <c r="C26" s="12" t="s">
        <v>163</v>
      </c>
      <c r="D26" s="12" t="s">
        <v>132</v>
      </c>
      <c r="E26" s="12" t="s">
        <v>154</v>
      </c>
      <c r="F26" s="12" t="s">
        <v>164</v>
      </c>
      <c r="G26" s="12" t="s">
        <v>165</v>
      </c>
      <c r="H26" s="12" t="s">
        <v>166</v>
      </c>
    </row>
    <row r="27" spans="1:8" x14ac:dyDescent="0.25">
      <c r="A27" t="s">
        <v>8</v>
      </c>
      <c r="B27" s="12" t="s">
        <v>167</v>
      </c>
      <c r="C27" s="12" t="s">
        <v>161</v>
      </c>
      <c r="D27" s="12" t="s">
        <v>141</v>
      </c>
      <c r="E27" s="12" t="s">
        <v>168</v>
      </c>
      <c r="F27" s="12" t="s">
        <v>142</v>
      </c>
      <c r="G27" s="12" t="s">
        <v>132</v>
      </c>
      <c r="H27" s="12" t="s">
        <v>169</v>
      </c>
    </row>
    <row r="28" spans="1:8" x14ac:dyDescent="0.25">
      <c r="A28" t="s">
        <v>6</v>
      </c>
      <c r="B28" s="12" t="s">
        <v>170</v>
      </c>
      <c r="C28" s="12" t="s">
        <v>171</v>
      </c>
      <c r="D28" s="12" t="s">
        <v>172</v>
      </c>
      <c r="E28" s="12" t="s">
        <v>173</v>
      </c>
      <c r="F28" s="12" t="s">
        <v>135</v>
      </c>
      <c r="G28" s="12" t="s">
        <v>174</v>
      </c>
      <c r="H28" s="12" t="s">
        <v>150</v>
      </c>
    </row>
    <row r="31" spans="1:8" x14ac:dyDescent="0.25">
      <c r="A31" s="1" t="s">
        <v>18</v>
      </c>
    </row>
    <row r="32" spans="1:8" x14ac:dyDescent="0.25">
      <c r="B32" t="s">
        <v>19</v>
      </c>
      <c r="C32" t="s">
        <v>20</v>
      </c>
      <c r="D32" t="s">
        <v>21</v>
      </c>
      <c r="E32" t="s">
        <v>6</v>
      </c>
    </row>
    <row r="33" spans="1:15" x14ac:dyDescent="0.25">
      <c r="A33" t="s">
        <v>122</v>
      </c>
      <c r="B33" s="12" t="s">
        <v>175</v>
      </c>
      <c r="C33" s="12" t="s">
        <v>176</v>
      </c>
      <c r="D33" s="12" t="s">
        <v>177</v>
      </c>
      <c r="E33" s="12" t="s">
        <v>136</v>
      </c>
    </row>
    <row r="34" spans="1:15" x14ac:dyDescent="0.25">
      <c r="A34" t="s">
        <v>8</v>
      </c>
      <c r="B34" s="12" t="s">
        <v>178</v>
      </c>
      <c r="C34" s="12" t="s">
        <v>179</v>
      </c>
      <c r="D34" s="12" t="s">
        <v>165</v>
      </c>
      <c r="E34" s="12" t="s">
        <v>143</v>
      </c>
    </row>
    <row r="35" spans="1:15" x14ac:dyDescent="0.25">
      <c r="A35" t="s">
        <v>6</v>
      </c>
      <c r="B35" s="12" t="s">
        <v>180</v>
      </c>
      <c r="C35" s="12" t="s">
        <v>176</v>
      </c>
      <c r="D35" s="12" t="s">
        <v>181</v>
      </c>
      <c r="E35" s="12" t="s">
        <v>150</v>
      </c>
    </row>
    <row r="38" spans="1:15" x14ac:dyDescent="0.25">
      <c r="C38" s="17">
        <v>2022</v>
      </c>
      <c r="D38" s="17"/>
      <c r="E38" s="17"/>
    </row>
    <row r="39" spans="1:15" x14ac:dyDescent="0.25">
      <c r="C39" s="17"/>
      <c r="D39" s="17"/>
      <c r="E39" s="17"/>
    </row>
    <row r="40" spans="1:15" x14ac:dyDescent="0.25">
      <c r="A40" s="1" t="s">
        <v>9</v>
      </c>
    </row>
    <row r="41" spans="1:15" x14ac:dyDescent="0.25"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L41" s="16" t="s">
        <v>30</v>
      </c>
      <c r="M41" s="16"/>
      <c r="N41" s="16"/>
      <c r="O41" s="16"/>
    </row>
    <row r="42" spans="1:15" x14ac:dyDescent="0.25">
      <c r="A42" t="s">
        <v>7</v>
      </c>
      <c r="B42" s="12">
        <v>27.71</v>
      </c>
      <c r="C42" s="12">
        <v>9.15</v>
      </c>
      <c r="D42" s="12">
        <v>0.76</v>
      </c>
      <c r="E42" s="12">
        <v>31.62</v>
      </c>
      <c r="F42" s="12">
        <v>0.52</v>
      </c>
      <c r="G42" s="12">
        <v>2.82</v>
      </c>
      <c r="H42" s="12">
        <v>72.58</v>
      </c>
      <c r="L42" s="16"/>
      <c r="M42" s="16"/>
      <c r="N42" s="16"/>
      <c r="O42" s="16"/>
    </row>
    <row r="43" spans="1:15" x14ac:dyDescent="0.25">
      <c r="A43" t="s">
        <v>8</v>
      </c>
      <c r="B43" s="12">
        <v>11.44</v>
      </c>
      <c r="C43" s="12">
        <v>4.09</v>
      </c>
      <c r="D43" s="12">
        <v>0.31</v>
      </c>
      <c r="E43" s="12">
        <v>10.74</v>
      </c>
      <c r="F43" s="12">
        <v>0.16</v>
      </c>
      <c r="G43" s="12">
        <v>0.67</v>
      </c>
      <c r="H43" s="12">
        <v>27.42</v>
      </c>
      <c r="L43" s="16"/>
      <c r="M43" s="16"/>
      <c r="N43" s="16"/>
      <c r="O43" s="16"/>
    </row>
    <row r="44" spans="1:15" x14ac:dyDescent="0.25">
      <c r="A44" t="s">
        <v>6</v>
      </c>
      <c r="B44" s="12">
        <v>39.15</v>
      </c>
      <c r="C44" s="12">
        <v>13.24</v>
      </c>
      <c r="D44" s="12">
        <v>1.07</v>
      </c>
      <c r="E44" s="12">
        <v>42.36</v>
      </c>
      <c r="F44" s="12">
        <v>0.69</v>
      </c>
      <c r="G44" s="12">
        <v>3.49</v>
      </c>
      <c r="H44" s="12">
        <v>100</v>
      </c>
      <c r="L44" s="16"/>
      <c r="M44" s="16"/>
      <c r="N44" s="16"/>
      <c r="O44" s="16"/>
    </row>
    <row r="45" spans="1:15" x14ac:dyDescent="0.25">
      <c r="L45" s="16"/>
      <c r="M45" s="16"/>
      <c r="N45" s="16"/>
      <c r="O45" s="16"/>
    </row>
    <row r="47" spans="1:15" x14ac:dyDescent="0.25">
      <c r="A47" s="1" t="s">
        <v>13</v>
      </c>
    </row>
    <row r="48" spans="1:15" x14ac:dyDescent="0.25">
      <c r="B48" t="s">
        <v>10</v>
      </c>
      <c r="C48" t="s">
        <v>11</v>
      </c>
      <c r="D48" t="s">
        <v>85</v>
      </c>
      <c r="E48" t="s">
        <v>5</v>
      </c>
      <c r="F48" t="s">
        <v>6</v>
      </c>
      <c r="G48" s="15"/>
      <c r="H48" s="15"/>
      <c r="I48" s="15"/>
      <c r="J48" s="15"/>
      <c r="K48" s="15"/>
      <c r="L48" s="15"/>
    </row>
    <row r="49" spans="1:8" x14ac:dyDescent="0.25">
      <c r="A49" t="s">
        <v>7</v>
      </c>
      <c r="B49" s="12">
        <v>50.19</v>
      </c>
      <c r="C49" s="12">
        <v>15.7</v>
      </c>
      <c r="D49" s="12">
        <v>3.84</v>
      </c>
      <c r="E49" s="12">
        <v>2.85</v>
      </c>
      <c r="F49" s="12">
        <v>72.569999999999993</v>
      </c>
    </row>
    <row r="50" spans="1:8" x14ac:dyDescent="0.25">
      <c r="A50" t="s">
        <v>8</v>
      </c>
      <c r="B50" s="12">
        <v>20.7</v>
      </c>
      <c r="C50" s="12">
        <v>4.5</v>
      </c>
      <c r="D50" s="12">
        <v>1.61</v>
      </c>
      <c r="E50" s="12">
        <v>0.62</v>
      </c>
      <c r="F50" s="12">
        <v>27.43</v>
      </c>
    </row>
    <row r="51" spans="1:8" x14ac:dyDescent="0.25">
      <c r="A51" t="s">
        <v>6</v>
      </c>
      <c r="B51" s="12">
        <v>70.89</v>
      </c>
      <c r="C51" s="12">
        <v>20.190000000000001</v>
      </c>
      <c r="D51" s="12">
        <v>5.44</v>
      </c>
      <c r="E51" s="12">
        <v>3.48</v>
      </c>
      <c r="F51" s="14">
        <v>100</v>
      </c>
    </row>
    <row r="54" spans="1:8" x14ac:dyDescent="0.25">
      <c r="A54" s="1" t="s">
        <v>23</v>
      </c>
    </row>
    <row r="55" spans="1:8" x14ac:dyDescent="0.25">
      <c r="B55" t="s">
        <v>24</v>
      </c>
      <c r="C55" t="s">
        <v>25</v>
      </c>
      <c r="D55" t="s">
        <v>26</v>
      </c>
      <c r="E55" t="s">
        <v>5</v>
      </c>
      <c r="F55" t="s">
        <v>6</v>
      </c>
    </row>
    <row r="56" spans="1:8" x14ac:dyDescent="0.25">
      <c r="A56" t="s">
        <v>7</v>
      </c>
      <c r="B56" s="18" t="s">
        <v>127</v>
      </c>
      <c r="C56" s="18"/>
      <c r="D56" s="18"/>
      <c r="E56" s="18"/>
      <c r="F56" s="18"/>
    </row>
    <row r="57" spans="1:8" x14ac:dyDescent="0.25">
      <c r="A57" t="s">
        <v>8</v>
      </c>
      <c r="B57" s="18"/>
      <c r="C57" s="18"/>
      <c r="D57" s="18"/>
      <c r="E57" s="18"/>
      <c r="F57" s="18"/>
    </row>
    <row r="58" spans="1:8" x14ac:dyDescent="0.25">
      <c r="A58" s="1" t="s">
        <v>6</v>
      </c>
      <c r="B58" s="18"/>
      <c r="C58" s="18"/>
      <c r="D58" s="18"/>
      <c r="E58" s="18"/>
      <c r="F58" s="18"/>
    </row>
    <row r="61" spans="1:8" x14ac:dyDescent="0.25">
      <c r="A61" s="1" t="s">
        <v>14</v>
      </c>
    </row>
    <row r="62" spans="1:8" x14ac:dyDescent="0.25">
      <c r="B62" t="s">
        <v>15</v>
      </c>
      <c r="C62" t="s">
        <v>31</v>
      </c>
      <c r="D62" t="s">
        <v>16</v>
      </c>
      <c r="E62" t="s">
        <v>17</v>
      </c>
      <c r="F62" t="s">
        <v>32</v>
      </c>
      <c r="G62" t="s">
        <v>5</v>
      </c>
      <c r="H62" t="s">
        <v>6</v>
      </c>
    </row>
    <row r="63" spans="1:8" x14ac:dyDescent="0.25">
      <c r="A63" t="s">
        <v>7</v>
      </c>
      <c r="B63" s="12">
        <v>46.36</v>
      </c>
      <c r="C63" s="12">
        <v>17.32</v>
      </c>
      <c r="D63" s="12">
        <v>0.62</v>
      </c>
      <c r="E63" s="12">
        <v>1.88</v>
      </c>
      <c r="F63" s="12">
        <v>1.9</v>
      </c>
      <c r="G63" s="12">
        <v>4.3600000000000003</v>
      </c>
      <c r="H63" s="12">
        <v>72.45</v>
      </c>
    </row>
    <row r="64" spans="1:8" x14ac:dyDescent="0.25">
      <c r="A64" t="s">
        <v>8</v>
      </c>
      <c r="B64" s="12">
        <v>22.49</v>
      </c>
      <c r="C64" s="12">
        <v>2.84</v>
      </c>
      <c r="D64" s="12">
        <v>0.2</v>
      </c>
      <c r="E64" s="12">
        <v>0.81</v>
      </c>
      <c r="F64" s="12">
        <v>0.5</v>
      </c>
      <c r="G64" s="12">
        <v>0.71</v>
      </c>
      <c r="H64" s="12">
        <v>27.55</v>
      </c>
    </row>
    <row r="65" spans="1:8" x14ac:dyDescent="0.25">
      <c r="A65" t="s">
        <v>6</v>
      </c>
      <c r="B65" s="12">
        <v>68.849999999999994</v>
      </c>
      <c r="C65" s="12">
        <v>20.16</v>
      </c>
      <c r="D65" s="12">
        <v>0.82</v>
      </c>
      <c r="E65" s="12">
        <v>2.69</v>
      </c>
      <c r="F65" s="12">
        <v>2.41</v>
      </c>
      <c r="G65" s="12">
        <v>5.07</v>
      </c>
      <c r="H65" s="12">
        <v>100</v>
      </c>
    </row>
    <row r="68" spans="1:8" x14ac:dyDescent="0.25">
      <c r="A68" s="1" t="s">
        <v>18</v>
      </c>
    </row>
    <row r="69" spans="1:8" x14ac:dyDescent="0.25">
      <c r="B69" t="s">
        <v>19</v>
      </c>
      <c r="C69" t="s">
        <v>20</v>
      </c>
      <c r="D69" t="s">
        <v>21</v>
      </c>
      <c r="E69" t="s">
        <v>6</v>
      </c>
    </row>
    <row r="70" spans="1:8" x14ac:dyDescent="0.25">
      <c r="A70" t="s">
        <v>7</v>
      </c>
      <c r="B70" s="12">
        <v>43.68</v>
      </c>
      <c r="C70" s="12">
        <v>0.14000000000000001</v>
      </c>
      <c r="D70" s="12">
        <v>28.75</v>
      </c>
      <c r="E70" s="12">
        <v>72.569999999999993</v>
      </c>
    </row>
    <row r="71" spans="1:8" x14ac:dyDescent="0.25">
      <c r="A71" t="s">
        <v>8</v>
      </c>
      <c r="B71" s="12">
        <v>23.44</v>
      </c>
      <c r="C71" s="12">
        <v>0.04</v>
      </c>
      <c r="D71" s="12">
        <v>3.95</v>
      </c>
      <c r="E71" s="12">
        <v>27.43</v>
      </c>
    </row>
    <row r="72" spans="1:8" x14ac:dyDescent="0.25">
      <c r="A72" t="s">
        <v>6</v>
      </c>
      <c r="B72" s="12">
        <v>67.13</v>
      </c>
      <c r="C72" s="12">
        <v>0.17</v>
      </c>
      <c r="D72" s="12">
        <v>32.700000000000003</v>
      </c>
      <c r="E72" s="12">
        <v>100</v>
      </c>
    </row>
    <row r="78" spans="1:8" x14ac:dyDescent="0.25">
      <c r="C78" s="17">
        <v>2021</v>
      </c>
      <c r="D78" s="17"/>
      <c r="E78" s="17"/>
    </row>
    <row r="79" spans="1:8" x14ac:dyDescent="0.25">
      <c r="C79" s="17"/>
      <c r="D79" s="17"/>
      <c r="E79" s="17"/>
    </row>
    <row r="80" spans="1:8" x14ac:dyDescent="0.25">
      <c r="A80" s="1" t="s">
        <v>9</v>
      </c>
    </row>
    <row r="81" spans="1:15" x14ac:dyDescent="0.25"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L81" s="16" t="s">
        <v>30</v>
      </c>
      <c r="M81" s="16"/>
      <c r="N81" s="16"/>
      <c r="O81" s="16"/>
    </row>
    <row r="82" spans="1:15" x14ac:dyDescent="0.25">
      <c r="A82" t="s">
        <v>7</v>
      </c>
      <c r="B82" s="12">
        <v>29.12</v>
      </c>
      <c r="C82" s="12">
        <v>9.0399999999999991</v>
      </c>
      <c r="D82" s="12">
        <v>0.68</v>
      </c>
      <c r="E82" s="12">
        <v>32.76</v>
      </c>
      <c r="F82" s="12">
        <v>0.56999999999999995</v>
      </c>
      <c r="G82" s="12">
        <v>3.44</v>
      </c>
      <c r="H82" s="12">
        <v>75.61</v>
      </c>
      <c r="L82" s="16"/>
      <c r="M82" s="16"/>
      <c r="N82" s="16"/>
      <c r="O82" s="16"/>
    </row>
    <row r="83" spans="1:15" x14ac:dyDescent="0.25">
      <c r="A83" t="s">
        <v>8</v>
      </c>
      <c r="B83" s="12">
        <v>10.47</v>
      </c>
      <c r="C83" s="12">
        <v>3.51</v>
      </c>
      <c r="D83" s="12">
        <v>0.27</v>
      </c>
      <c r="E83" s="12">
        <v>9.2200000000000006</v>
      </c>
      <c r="F83" s="12">
        <v>0.17</v>
      </c>
      <c r="G83" s="12">
        <v>0.75</v>
      </c>
      <c r="H83" s="12">
        <v>24.39</v>
      </c>
      <c r="L83" s="16"/>
      <c r="M83" s="16"/>
      <c r="N83" s="16"/>
      <c r="O83" s="16"/>
    </row>
    <row r="84" spans="1:15" x14ac:dyDescent="0.25">
      <c r="A84" t="s">
        <v>6</v>
      </c>
      <c r="B84" s="12">
        <v>39.590000000000003</v>
      </c>
      <c r="C84" s="12">
        <v>12.55</v>
      </c>
      <c r="D84" s="12">
        <v>0.95</v>
      </c>
      <c r="E84" s="12">
        <v>41.98</v>
      </c>
      <c r="F84" s="12">
        <v>0.74</v>
      </c>
      <c r="G84" s="12">
        <v>4.1900000000000004</v>
      </c>
      <c r="H84" s="12">
        <v>100</v>
      </c>
      <c r="L84" s="16"/>
      <c r="M84" s="16"/>
      <c r="N84" s="16"/>
      <c r="O84" s="16"/>
    </row>
    <row r="85" spans="1:15" x14ac:dyDescent="0.25">
      <c r="L85" s="16"/>
      <c r="M85" s="16"/>
      <c r="N85" s="16"/>
      <c r="O85" s="16"/>
    </row>
    <row r="87" spans="1:15" x14ac:dyDescent="0.25">
      <c r="A87" s="1" t="s">
        <v>13</v>
      </c>
    </row>
    <row r="88" spans="1:15" x14ac:dyDescent="0.25">
      <c r="B88" t="s">
        <v>10</v>
      </c>
      <c r="C88" t="s">
        <v>11</v>
      </c>
      <c r="D88" t="s">
        <v>85</v>
      </c>
      <c r="E88" t="s">
        <v>5</v>
      </c>
      <c r="F88" t="s">
        <v>6</v>
      </c>
    </row>
    <row r="89" spans="1:15" x14ac:dyDescent="0.25">
      <c r="A89" t="s">
        <v>7</v>
      </c>
      <c r="B89" s="12">
        <v>52.93</v>
      </c>
      <c r="C89" s="12">
        <v>16.48</v>
      </c>
      <c r="D89" s="12">
        <v>3.6</v>
      </c>
      <c r="E89" s="12">
        <v>2.65</v>
      </c>
      <c r="F89" s="12">
        <v>75.67</v>
      </c>
    </row>
    <row r="90" spans="1:15" x14ac:dyDescent="0.25">
      <c r="A90" t="s">
        <v>8</v>
      </c>
      <c r="B90" s="12">
        <v>18.77</v>
      </c>
      <c r="C90" s="12">
        <v>3.65</v>
      </c>
      <c r="D90" s="12">
        <v>1.37</v>
      </c>
      <c r="E90" s="12">
        <v>0.55000000000000004</v>
      </c>
      <c r="F90" s="12">
        <v>24.33</v>
      </c>
    </row>
    <row r="91" spans="1:15" x14ac:dyDescent="0.25">
      <c r="A91" t="s">
        <v>6</v>
      </c>
      <c r="B91" s="12">
        <v>71.7</v>
      </c>
      <c r="C91" s="12">
        <v>20.13</v>
      </c>
      <c r="D91" s="12">
        <v>4.97</v>
      </c>
      <c r="E91" s="12">
        <v>3.2</v>
      </c>
      <c r="F91" s="12">
        <v>100</v>
      </c>
    </row>
    <row r="94" spans="1:15" x14ac:dyDescent="0.25">
      <c r="A94" s="1" t="s">
        <v>23</v>
      </c>
    </row>
    <row r="95" spans="1:15" x14ac:dyDescent="0.25">
      <c r="B95" t="s">
        <v>24</v>
      </c>
      <c r="C95" t="s">
        <v>25</v>
      </c>
      <c r="D95" t="s">
        <v>26</v>
      </c>
      <c r="E95" t="s">
        <v>5</v>
      </c>
      <c r="F95" t="s">
        <v>6</v>
      </c>
    </row>
    <row r="96" spans="1:15" x14ac:dyDescent="0.25">
      <c r="A96" t="s">
        <v>7</v>
      </c>
    </row>
    <row r="97" spans="1:8" x14ac:dyDescent="0.25">
      <c r="A97" t="s">
        <v>8</v>
      </c>
    </row>
    <row r="98" spans="1:8" x14ac:dyDescent="0.25">
      <c r="A98" s="1" t="s">
        <v>6</v>
      </c>
    </row>
    <row r="101" spans="1:8" x14ac:dyDescent="0.25">
      <c r="A101" s="1" t="s">
        <v>14</v>
      </c>
    </row>
    <row r="102" spans="1:8" x14ac:dyDescent="0.25">
      <c r="B102" t="s">
        <v>15</v>
      </c>
      <c r="C102" t="s">
        <v>31</v>
      </c>
      <c r="D102" t="s">
        <v>16</v>
      </c>
      <c r="E102" t="s">
        <v>17</v>
      </c>
      <c r="F102" t="s">
        <v>32</v>
      </c>
      <c r="G102" t="s">
        <v>5</v>
      </c>
      <c r="H102" t="s">
        <v>6</v>
      </c>
    </row>
    <row r="103" spans="1:8" x14ac:dyDescent="0.25">
      <c r="A103" t="s">
        <v>7</v>
      </c>
      <c r="B103" s="13">
        <v>48.16</v>
      </c>
      <c r="C103" s="13">
        <v>18.079999999999998</v>
      </c>
      <c r="D103" s="13">
        <v>0.74</v>
      </c>
      <c r="E103" s="13">
        <v>2.21</v>
      </c>
      <c r="F103" s="13">
        <v>1.57</v>
      </c>
      <c r="G103" s="13">
        <v>4.76</v>
      </c>
      <c r="H103" s="13">
        <v>75.52</v>
      </c>
    </row>
    <row r="104" spans="1:8" x14ac:dyDescent="0.25">
      <c r="A104" t="s">
        <v>8</v>
      </c>
      <c r="B104" s="13">
        <v>19.850000000000001</v>
      </c>
      <c r="C104" s="13">
        <v>2.73</v>
      </c>
      <c r="D104" s="13">
        <v>0.15</v>
      </c>
      <c r="E104" s="13">
        <v>0.81</v>
      </c>
      <c r="F104" s="13">
        <v>0.24</v>
      </c>
      <c r="G104" s="13">
        <v>0.69</v>
      </c>
      <c r="H104" s="13">
        <v>24.48</v>
      </c>
    </row>
    <row r="105" spans="1:8" x14ac:dyDescent="0.25">
      <c r="A105" t="s">
        <v>6</v>
      </c>
      <c r="B105" s="13">
        <v>68.010000000000005</v>
      </c>
      <c r="C105" s="13">
        <v>20.81</v>
      </c>
      <c r="D105" s="13">
        <v>0.89</v>
      </c>
      <c r="E105" s="13">
        <v>3.02</v>
      </c>
      <c r="F105" s="13">
        <v>1.81</v>
      </c>
      <c r="G105" s="13">
        <v>5.45</v>
      </c>
      <c r="H105" s="13">
        <v>100</v>
      </c>
    </row>
    <row r="108" spans="1:8" x14ac:dyDescent="0.25">
      <c r="A108" s="1" t="s">
        <v>18</v>
      </c>
    </row>
    <row r="109" spans="1:8" x14ac:dyDescent="0.25">
      <c r="B109" t="s">
        <v>19</v>
      </c>
      <c r="C109" t="s">
        <v>20</v>
      </c>
      <c r="D109" t="s">
        <v>21</v>
      </c>
      <c r="E109" t="s">
        <v>6</v>
      </c>
    </row>
    <row r="110" spans="1:8" x14ac:dyDescent="0.25">
      <c r="A110" t="s">
        <v>7</v>
      </c>
      <c r="B110" s="13">
        <v>46.11</v>
      </c>
      <c r="C110" s="13">
        <v>0.12</v>
      </c>
      <c r="D110" s="13">
        <v>29.43</v>
      </c>
      <c r="E110" s="13">
        <v>75.650000000000006</v>
      </c>
    </row>
    <row r="111" spans="1:8" x14ac:dyDescent="0.25">
      <c r="A111" t="s">
        <v>8</v>
      </c>
      <c r="B111" s="13">
        <v>20.46</v>
      </c>
      <c r="C111" s="13">
        <v>0.03</v>
      </c>
      <c r="D111" s="13">
        <v>3.85</v>
      </c>
      <c r="E111" s="13">
        <v>24.35</v>
      </c>
    </row>
    <row r="112" spans="1:8" x14ac:dyDescent="0.25">
      <c r="A112" t="s">
        <v>6</v>
      </c>
      <c r="B112" s="13">
        <v>66.569999999999993</v>
      </c>
      <c r="C112" s="13">
        <v>0.15</v>
      </c>
      <c r="D112" s="13">
        <v>33.28</v>
      </c>
      <c r="E112" s="13">
        <v>100</v>
      </c>
    </row>
    <row r="117" spans="1:15" x14ac:dyDescent="0.25">
      <c r="C117" s="17">
        <v>2020</v>
      </c>
      <c r="D117" s="17"/>
      <c r="E117" s="17"/>
    </row>
    <row r="118" spans="1:15" x14ac:dyDescent="0.25">
      <c r="C118" s="17"/>
      <c r="D118" s="17"/>
      <c r="E118" s="17"/>
    </row>
    <row r="119" spans="1:15" x14ac:dyDescent="0.25">
      <c r="A119" s="1" t="s">
        <v>9</v>
      </c>
    </row>
    <row r="120" spans="1:15" x14ac:dyDescent="0.25">
      <c r="B120" t="s">
        <v>0</v>
      </c>
      <c r="C120" t="s">
        <v>1</v>
      </c>
      <c r="D120" t="s">
        <v>2</v>
      </c>
      <c r="E120" t="s">
        <v>3</v>
      </c>
      <c r="F120" t="s">
        <v>4</v>
      </c>
      <c r="G120" t="s">
        <v>5</v>
      </c>
      <c r="H120" t="s">
        <v>6</v>
      </c>
      <c r="L120" s="16" t="s">
        <v>30</v>
      </c>
      <c r="M120" s="16"/>
      <c r="N120" s="16"/>
      <c r="O120" s="16"/>
    </row>
    <row r="121" spans="1:15" x14ac:dyDescent="0.25">
      <c r="A121" t="s">
        <v>7</v>
      </c>
      <c r="B121" s="12">
        <v>31.65</v>
      </c>
      <c r="C121" s="12">
        <v>8.56</v>
      </c>
      <c r="D121" s="12">
        <v>0.75</v>
      </c>
      <c r="E121" s="12">
        <v>34.78</v>
      </c>
      <c r="F121" s="12">
        <v>0.79</v>
      </c>
      <c r="G121" s="12">
        <v>3.76</v>
      </c>
      <c r="H121" s="12">
        <v>80.28</v>
      </c>
      <c r="L121" s="16"/>
      <c r="M121" s="16"/>
      <c r="N121" s="16"/>
      <c r="O121" s="16"/>
    </row>
    <row r="122" spans="1:15" x14ac:dyDescent="0.25">
      <c r="A122" t="s">
        <v>8</v>
      </c>
      <c r="B122" s="12">
        <v>8.25</v>
      </c>
      <c r="C122" s="12">
        <v>2.64</v>
      </c>
      <c r="D122" s="12">
        <v>0.26</v>
      </c>
      <c r="E122" s="12">
        <v>7.89</v>
      </c>
      <c r="F122" s="12">
        <v>0.18</v>
      </c>
      <c r="G122" s="12">
        <v>0.49</v>
      </c>
      <c r="H122" s="12">
        <v>19.72</v>
      </c>
      <c r="L122" s="16"/>
      <c r="M122" s="16"/>
      <c r="N122" s="16"/>
      <c r="O122" s="16"/>
    </row>
    <row r="123" spans="1:15" x14ac:dyDescent="0.25">
      <c r="A123" t="s">
        <v>6</v>
      </c>
      <c r="B123" s="12">
        <v>39.9</v>
      </c>
      <c r="C123" s="12">
        <v>11.2</v>
      </c>
      <c r="D123" s="12">
        <v>1.02</v>
      </c>
      <c r="E123" s="12">
        <v>42.66</v>
      </c>
      <c r="F123" s="12">
        <v>0.98</v>
      </c>
      <c r="G123" s="12">
        <v>4.25</v>
      </c>
      <c r="H123" s="14">
        <v>100</v>
      </c>
      <c r="L123" s="16"/>
      <c r="M123" s="16"/>
      <c r="N123" s="16"/>
      <c r="O123" s="16"/>
    </row>
    <row r="124" spans="1:15" x14ac:dyDescent="0.25">
      <c r="L124" s="16"/>
      <c r="M124" s="16"/>
      <c r="N124" s="16"/>
      <c r="O124" s="16"/>
    </row>
    <row r="126" spans="1:15" x14ac:dyDescent="0.25">
      <c r="A126" s="1" t="s">
        <v>13</v>
      </c>
    </row>
    <row r="127" spans="1:15" x14ac:dyDescent="0.25">
      <c r="B127" t="s">
        <v>10</v>
      </c>
      <c r="C127" t="s">
        <v>11</v>
      </c>
      <c r="D127" t="s">
        <v>85</v>
      </c>
      <c r="E127" t="s">
        <v>5</v>
      </c>
      <c r="F127" t="s">
        <v>6</v>
      </c>
    </row>
    <row r="128" spans="1:15" x14ac:dyDescent="0.25">
      <c r="A128" t="s">
        <v>7</v>
      </c>
      <c r="B128" s="8">
        <v>56.9</v>
      </c>
      <c r="C128" s="8">
        <v>16.36</v>
      </c>
      <c r="D128" s="8">
        <v>4.24</v>
      </c>
      <c r="E128" s="8">
        <v>2.8</v>
      </c>
      <c r="F128" s="8">
        <v>80.3</v>
      </c>
    </row>
    <row r="129" spans="1:8" x14ac:dyDescent="0.25">
      <c r="A129" t="s">
        <v>8</v>
      </c>
      <c r="B129" s="8">
        <v>15.35</v>
      </c>
      <c r="C129" s="8">
        <v>3.06</v>
      </c>
      <c r="D129" s="8">
        <v>0.87</v>
      </c>
      <c r="E129" s="8">
        <v>0.43</v>
      </c>
      <c r="F129" s="8">
        <v>19.7</v>
      </c>
    </row>
    <row r="130" spans="1:8" x14ac:dyDescent="0.25">
      <c r="A130" t="s">
        <v>6</v>
      </c>
      <c r="B130" s="8">
        <v>72.25</v>
      </c>
      <c r="C130" s="8">
        <v>19.420000000000002</v>
      </c>
      <c r="D130" s="8">
        <v>5.1100000000000003</v>
      </c>
      <c r="E130" s="11">
        <v>3.22</v>
      </c>
      <c r="F130" s="8">
        <v>100</v>
      </c>
    </row>
    <row r="133" spans="1:8" x14ac:dyDescent="0.25">
      <c r="A133" s="1" t="s">
        <v>23</v>
      </c>
    </row>
    <row r="134" spans="1:8" x14ac:dyDescent="0.25">
      <c r="B134" t="s">
        <v>24</v>
      </c>
      <c r="C134" t="s">
        <v>25</v>
      </c>
      <c r="D134" t="s">
        <v>26</v>
      </c>
      <c r="E134" t="s">
        <v>5</v>
      </c>
      <c r="F134" t="s">
        <v>6</v>
      </c>
    </row>
    <row r="135" spans="1:8" x14ac:dyDescent="0.25">
      <c r="A135" t="s">
        <v>7</v>
      </c>
    </row>
    <row r="136" spans="1:8" x14ac:dyDescent="0.25">
      <c r="A136" t="s">
        <v>8</v>
      </c>
    </row>
    <row r="137" spans="1:8" x14ac:dyDescent="0.25">
      <c r="A137" s="1" t="s">
        <v>6</v>
      </c>
    </row>
    <row r="140" spans="1:8" x14ac:dyDescent="0.25">
      <c r="A140" s="1" t="s">
        <v>14</v>
      </c>
    </row>
    <row r="141" spans="1:8" x14ac:dyDescent="0.25">
      <c r="B141" t="s">
        <v>15</v>
      </c>
      <c r="C141" t="s">
        <v>31</v>
      </c>
      <c r="D141" t="s">
        <v>16</v>
      </c>
      <c r="E141" t="s">
        <v>17</v>
      </c>
      <c r="F141" t="s">
        <v>32</v>
      </c>
      <c r="G141" t="s">
        <v>5</v>
      </c>
      <c r="H141" t="s">
        <v>6</v>
      </c>
    </row>
    <row r="142" spans="1:8" x14ac:dyDescent="0.25">
      <c r="A142" t="s">
        <v>7</v>
      </c>
      <c r="B142" s="13">
        <v>50.56</v>
      </c>
      <c r="C142" s="13">
        <v>20.34</v>
      </c>
      <c r="D142" s="13">
        <v>0.68</v>
      </c>
      <c r="E142" s="13">
        <v>2.0299999999999998</v>
      </c>
      <c r="F142" s="13">
        <v>1.52</v>
      </c>
      <c r="G142" s="13">
        <v>5.07</v>
      </c>
      <c r="H142" s="13">
        <v>80.209999999999994</v>
      </c>
    </row>
    <row r="143" spans="1:8" x14ac:dyDescent="0.25">
      <c r="A143" t="s">
        <v>8</v>
      </c>
      <c r="B143" s="13">
        <v>16.100000000000001</v>
      </c>
      <c r="C143" s="13">
        <v>2.0499999999999998</v>
      </c>
      <c r="D143" s="13">
        <v>0.23</v>
      </c>
      <c r="E143" s="13">
        <v>0.72</v>
      </c>
      <c r="F143" s="13">
        <v>0.23</v>
      </c>
      <c r="G143" s="13">
        <v>0.47</v>
      </c>
      <c r="H143" s="13">
        <v>19.79</v>
      </c>
    </row>
    <row r="144" spans="1:8" x14ac:dyDescent="0.25">
      <c r="A144" t="s">
        <v>6</v>
      </c>
      <c r="B144" s="13">
        <v>66.66</v>
      </c>
      <c r="C144" s="13">
        <v>22.4</v>
      </c>
      <c r="D144" s="13">
        <v>0.9</v>
      </c>
      <c r="E144" s="13">
        <v>2.75</v>
      </c>
      <c r="F144" s="13">
        <v>1.75</v>
      </c>
      <c r="G144" s="13">
        <v>5.54</v>
      </c>
      <c r="H144" s="6">
        <v>100</v>
      </c>
    </row>
    <row r="147" spans="1:5" x14ac:dyDescent="0.25">
      <c r="A147" s="1" t="s">
        <v>18</v>
      </c>
    </row>
    <row r="148" spans="1:5" x14ac:dyDescent="0.25">
      <c r="B148" t="s">
        <v>19</v>
      </c>
      <c r="C148" t="s">
        <v>20</v>
      </c>
      <c r="D148" t="s">
        <v>21</v>
      </c>
      <c r="E148" t="s">
        <v>6</v>
      </c>
    </row>
    <row r="149" spans="1:5" x14ac:dyDescent="0.25">
      <c r="A149" t="s">
        <v>7</v>
      </c>
      <c r="B149" s="13">
        <v>48.57</v>
      </c>
      <c r="C149" s="13"/>
      <c r="D149" s="13">
        <v>31.73</v>
      </c>
      <c r="E149" s="13">
        <v>80.3</v>
      </c>
    </row>
    <row r="150" spans="1:5" x14ac:dyDescent="0.25">
      <c r="A150" t="s">
        <v>8</v>
      </c>
      <c r="B150" s="13">
        <v>16.78</v>
      </c>
      <c r="C150" s="13"/>
      <c r="D150" s="13">
        <v>2.92</v>
      </c>
      <c r="E150" s="13">
        <v>19.7</v>
      </c>
    </row>
    <row r="151" spans="1:5" x14ac:dyDescent="0.25">
      <c r="A151" t="s">
        <v>6</v>
      </c>
      <c r="B151" s="13">
        <v>65.36</v>
      </c>
      <c r="C151" s="13"/>
      <c r="D151" s="13">
        <v>34.64</v>
      </c>
      <c r="E151" s="6">
        <v>100</v>
      </c>
    </row>
  </sheetData>
  <mergeCells count="10">
    <mergeCell ref="C117:E118"/>
    <mergeCell ref="L120:O124"/>
    <mergeCell ref="C1:E2"/>
    <mergeCell ref="L4:O8"/>
    <mergeCell ref="B19:F21"/>
    <mergeCell ref="C38:E39"/>
    <mergeCell ref="L41:O45"/>
    <mergeCell ref="B56:F58"/>
    <mergeCell ref="L81:O85"/>
    <mergeCell ref="C78:E79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"/>
  <sheetViews>
    <sheetView workbookViewId="0">
      <selection activeCell="E23" sqref="E23"/>
    </sheetView>
  </sheetViews>
  <sheetFormatPr defaultRowHeight="15" x14ac:dyDescent="0.25"/>
  <cols>
    <col min="2" max="2" width="25.28515625" bestFit="1" customWidth="1"/>
    <col min="3" max="3" width="13.85546875" bestFit="1" customWidth="1"/>
    <col min="4" max="4" width="10.140625" bestFit="1" customWidth="1"/>
  </cols>
  <sheetData>
    <row r="1" spans="1:17" x14ac:dyDescent="0.25">
      <c r="A1" t="s">
        <v>36</v>
      </c>
    </row>
    <row r="2" spans="1:17" x14ac:dyDescent="0.25">
      <c r="B2" t="s">
        <v>33</v>
      </c>
      <c r="C2" t="s">
        <v>34</v>
      </c>
      <c r="D2" t="s">
        <v>35</v>
      </c>
      <c r="H2" s="19" t="s">
        <v>128</v>
      </c>
      <c r="I2" s="19"/>
      <c r="J2" s="19"/>
      <c r="K2" s="19"/>
      <c r="N2" s="16" t="s">
        <v>30</v>
      </c>
      <c r="O2" s="16"/>
      <c r="P2" s="16"/>
      <c r="Q2" s="16"/>
    </row>
    <row r="3" spans="1:17" x14ac:dyDescent="0.25">
      <c r="A3">
        <v>2014</v>
      </c>
      <c r="B3">
        <v>761</v>
      </c>
      <c r="C3">
        <v>672</v>
      </c>
      <c r="D3">
        <v>89</v>
      </c>
      <c r="H3" s="19"/>
      <c r="I3" s="19"/>
      <c r="J3" s="19"/>
      <c r="K3" s="19"/>
      <c r="N3" s="16"/>
      <c r="O3" s="16"/>
      <c r="P3" s="16"/>
      <c r="Q3" s="16"/>
    </row>
    <row r="4" spans="1:17" x14ac:dyDescent="0.25">
      <c r="A4">
        <v>2015</v>
      </c>
      <c r="B4">
        <v>3278</v>
      </c>
      <c r="C4">
        <v>2952</v>
      </c>
      <c r="D4">
        <v>326</v>
      </c>
      <c r="H4" s="19"/>
      <c r="I4" s="19"/>
      <c r="J4" s="19"/>
      <c r="K4" s="19"/>
      <c r="N4" s="16"/>
      <c r="O4" s="16"/>
      <c r="P4" s="16"/>
      <c r="Q4" s="16"/>
    </row>
    <row r="5" spans="1:17" x14ac:dyDescent="0.25">
      <c r="A5">
        <v>2016</v>
      </c>
      <c r="B5">
        <v>3602</v>
      </c>
      <c r="C5">
        <v>3213</v>
      </c>
      <c r="D5">
        <v>389</v>
      </c>
      <c r="H5" s="19"/>
      <c r="I5" s="19"/>
      <c r="J5" s="19"/>
      <c r="K5" s="19"/>
      <c r="N5" s="16"/>
      <c r="O5" s="16"/>
      <c r="P5" s="16"/>
      <c r="Q5" s="16"/>
    </row>
    <row r="6" spans="1:17" x14ac:dyDescent="0.25">
      <c r="A6">
        <v>2017</v>
      </c>
      <c r="B6">
        <v>4369</v>
      </c>
      <c r="C6">
        <v>3799</v>
      </c>
      <c r="D6">
        <v>570</v>
      </c>
      <c r="N6" s="16"/>
      <c r="O6" s="16"/>
      <c r="P6" s="16"/>
      <c r="Q6" s="16"/>
    </row>
    <row r="7" spans="1:17" x14ac:dyDescent="0.25">
      <c r="A7">
        <v>2018</v>
      </c>
      <c r="B7">
        <v>5057</v>
      </c>
      <c r="C7">
        <v>4313</v>
      </c>
      <c r="D7">
        <v>744</v>
      </c>
    </row>
    <row r="8" spans="1:17" x14ac:dyDescent="0.25">
      <c r="A8">
        <v>2019</v>
      </c>
      <c r="B8">
        <v>5548</v>
      </c>
      <c r="C8">
        <v>4518</v>
      </c>
      <c r="D8">
        <v>1030</v>
      </c>
    </row>
    <row r="9" spans="1:17" x14ac:dyDescent="0.25">
      <c r="A9">
        <v>2020</v>
      </c>
      <c r="B9">
        <v>4933</v>
      </c>
      <c r="C9">
        <v>3961</v>
      </c>
      <c r="D9">
        <v>972</v>
      </c>
    </row>
    <row r="10" spans="1:17" x14ac:dyDescent="0.25">
      <c r="A10">
        <v>2021</v>
      </c>
      <c r="B10">
        <v>5759</v>
      </c>
      <c r="C10">
        <v>4372</v>
      </c>
      <c r="D10">
        <v>1387</v>
      </c>
    </row>
    <row r="11" spans="1:17" x14ac:dyDescent="0.25">
      <c r="A11">
        <v>2022</v>
      </c>
      <c r="B11">
        <v>7276</v>
      </c>
      <c r="C11">
        <v>5299</v>
      </c>
      <c r="D11">
        <v>1977</v>
      </c>
    </row>
    <row r="12" spans="1:17" x14ac:dyDescent="0.25">
      <c r="A12">
        <v>2023</v>
      </c>
      <c r="B12">
        <v>9845</v>
      </c>
      <c r="C12">
        <v>7115</v>
      </c>
      <c r="D12">
        <v>2730</v>
      </c>
    </row>
  </sheetData>
  <mergeCells count="2">
    <mergeCell ref="N2:Q6"/>
    <mergeCell ref="H2:K5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selection activeCell="B2" sqref="B2:D16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25" bestFit="1" customWidth="1"/>
    <col min="4" max="4" width="16.42578125" bestFit="1" customWidth="1"/>
  </cols>
  <sheetData>
    <row r="1" spans="1:4" x14ac:dyDescent="0.25">
      <c r="B1" s="15" t="s">
        <v>41</v>
      </c>
      <c r="C1" s="15" t="s">
        <v>122</v>
      </c>
      <c r="D1" s="15" t="s">
        <v>8</v>
      </c>
    </row>
    <row r="2" spans="1:4" x14ac:dyDescent="0.25">
      <c r="A2" t="s">
        <v>44</v>
      </c>
      <c r="B2">
        <v>9.1999999999999993</v>
      </c>
      <c r="C2">
        <v>5.8</v>
      </c>
      <c r="D2">
        <v>12.1</v>
      </c>
    </row>
    <row r="3" spans="1:4" x14ac:dyDescent="0.25">
      <c r="A3" t="s">
        <v>45</v>
      </c>
      <c r="B3">
        <v>10.6</v>
      </c>
      <c r="C3">
        <v>13</v>
      </c>
      <c r="D3">
        <v>24.9</v>
      </c>
    </row>
    <row r="4" spans="1:4" x14ac:dyDescent="0.25">
      <c r="A4" t="s">
        <v>46</v>
      </c>
      <c r="B4">
        <v>12.1</v>
      </c>
      <c r="C4">
        <v>18.3</v>
      </c>
      <c r="D4">
        <v>24</v>
      </c>
    </row>
    <row r="5" spans="1:4" x14ac:dyDescent="0.25">
      <c r="A5" t="s">
        <v>47</v>
      </c>
      <c r="B5">
        <v>12.9</v>
      </c>
      <c r="C5">
        <v>19.100000000000001</v>
      </c>
      <c r="D5">
        <v>15.1</v>
      </c>
    </row>
    <row r="6" spans="1:4" x14ac:dyDescent="0.25">
      <c r="A6" t="s">
        <v>48</v>
      </c>
      <c r="B6">
        <v>11.6</v>
      </c>
      <c r="C6">
        <v>14.1</v>
      </c>
      <c r="D6">
        <v>10.4</v>
      </c>
    </row>
    <row r="7" spans="1:4" x14ac:dyDescent="0.25">
      <c r="A7" t="s">
        <v>49</v>
      </c>
      <c r="B7">
        <v>10.8</v>
      </c>
      <c r="C7">
        <v>9.9</v>
      </c>
      <c r="D7">
        <v>5.8</v>
      </c>
    </row>
    <row r="8" spans="1:4" x14ac:dyDescent="0.25">
      <c r="A8" t="s">
        <v>50</v>
      </c>
      <c r="B8">
        <v>9.4</v>
      </c>
      <c r="C8">
        <v>6.7</v>
      </c>
      <c r="D8">
        <v>3.4</v>
      </c>
    </row>
    <row r="9" spans="1:4" x14ac:dyDescent="0.25">
      <c r="A9" t="s">
        <v>51</v>
      </c>
      <c r="B9">
        <v>6.6</v>
      </c>
      <c r="C9">
        <v>4.7</v>
      </c>
      <c r="D9">
        <v>1.8</v>
      </c>
    </row>
    <row r="10" spans="1:4" x14ac:dyDescent="0.25">
      <c r="A10" t="s">
        <v>52</v>
      </c>
      <c r="B10">
        <v>4.3</v>
      </c>
      <c r="C10">
        <v>2.9</v>
      </c>
      <c r="D10">
        <v>1.1000000000000001</v>
      </c>
    </row>
    <row r="11" spans="1:4" x14ac:dyDescent="0.25">
      <c r="A11" t="s">
        <v>53</v>
      </c>
      <c r="B11">
        <v>3</v>
      </c>
      <c r="C11">
        <v>2</v>
      </c>
      <c r="D11">
        <v>0.5</v>
      </c>
    </row>
    <row r="12" spans="1:4" x14ac:dyDescent="0.25">
      <c r="A12" t="s">
        <v>54</v>
      </c>
      <c r="B12">
        <v>2.8</v>
      </c>
      <c r="C12">
        <v>1.1000000000000001</v>
      </c>
      <c r="D12">
        <v>0.3</v>
      </c>
    </row>
    <row r="13" spans="1:4" x14ac:dyDescent="0.25">
      <c r="A13" t="s">
        <v>55</v>
      </c>
      <c r="B13">
        <v>2.1</v>
      </c>
      <c r="C13">
        <v>0.9</v>
      </c>
      <c r="D13">
        <v>0.3</v>
      </c>
    </row>
    <row r="14" spans="1:4" x14ac:dyDescent="0.25">
      <c r="A14" t="s">
        <v>56</v>
      </c>
      <c r="B14">
        <v>1.7</v>
      </c>
      <c r="C14">
        <v>0.8</v>
      </c>
      <c r="D14">
        <v>0.1</v>
      </c>
    </row>
    <row r="15" spans="1:4" x14ac:dyDescent="0.25">
      <c r="A15" t="s">
        <v>57</v>
      </c>
      <c r="B15">
        <v>1.3</v>
      </c>
      <c r="C15">
        <v>0.3</v>
      </c>
      <c r="D15">
        <v>0.1</v>
      </c>
    </row>
    <row r="16" spans="1:4" x14ac:dyDescent="0.25">
      <c r="A16" t="s">
        <v>58</v>
      </c>
      <c r="B16">
        <v>1.8</v>
      </c>
      <c r="C16">
        <v>0.5</v>
      </c>
      <c r="D16">
        <v>0.2</v>
      </c>
    </row>
    <row r="17" spans="2:10" x14ac:dyDescent="0.25">
      <c r="B17">
        <v>100</v>
      </c>
      <c r="C17">
        <v>100</v>
      </c>
      <c r="D17">
        <v>100</v>
      </c>
    </row>
    <row r="19" spans="2:10" x14ac:dyDescent="0.25">
      <c r="B19" s="16" t="s">
        <v>30</v>
      </c>
      <c r="C19" s="16"/>
      <c r="D19" s="16"/>
      <c r="E19" s="16"/>
      <c r="G19" s="19" t="s">
        <v>182</v>
      </c>
      <c r="H19" s="19"/>
      <c r="I19" s="19"/>
      <c r="J19" s="19"/>
    </row>
    <row r="20" spans="2:10" x14ac:dyDescent="0.25">
      <c r="B20" s="16"/>
      <c r="C20" s="16"/>
      <c r="D20" s="16"/>
      <c r="E20" s="16"/>
      <c r="G20" s="19"/>
      <c r="H20" s="19"/>
      <c r="I20" s="19"/>
      <c r="J20" s="19"/>
    </row>
    <row r="21" spans="2:10" x14ac:dyDescent="0.25">
      <c r="B21" s="16"/>
      <c r="C21" s="16"/>
      <c r="D21" s="16"/>
      <c r="E21" s="16"/>
      <c r="G21" s="19"/>
      <c r="H21" s="19"/>
      <c r="I21" s="19"/>
      <c r="J21" s="19"/>
    </row>
    <row r="22" spans="2:10" x14ac:dyDescent="0.25">
      <c r="B22" s="16"/>
      <c r="C22" s="16"/>
      <c r="D22" s="16"/>
      <c r="E22" s="16"/>
      <c r="G22" s="19"/>
      <c r="H22" s="19"/>
      <c r="I22" s="19"/>
      <c r="J22" s="19"/>
    </row>
    <row r="23" spans="2:10" x14ac:dyDescent="0.25">
      <c r="B23" s="16"/>
      <c r="C23" s="16"/>
      <c r="D23" s="16"/>
      <c r="E23" s="16"/>
    </row>
  </sheetData>
  <mergeCells count="2">
    <mergeCell ref="B19:E23"/>
    <mergeCell ref="G19:J2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workbookViewId="0">
      <selection activeCell="G28" sqref="G28"/>
    </sheetView>
  </sheetViews>
  <sheetFormatPr defaultRowHeight="15" x14ac:dyDescent="0.25"/>
  <cols>
    <col min="1" max="1" width="10.28515625" bestFit="1" customWidth="1"/>
    <col min="2" max="2" width="8" bestFit="1" customWidth="1"/>
    <col min="3" max="3" width="17.85546875" bestFit="1" customWidth="1"/>
    <col min="4" max="4" width="18.28515625" bestFit="1" customWidth="1"/>
  </cols>
  <sheetData>
    <row r="1" spans="1:4" x14ac:dyDescent="0.25">
      <c r="B1" s="15" t="s">
        <v>38</v>
      </c>
      <c r="C1" s="15" t="s">
        <v>59</v>
      </c>
      <c r="D1" s="15" t="s">
        <v>60</v>
      </c>
    </row>
    <row r="2" spans="1:4" x14ac:dyDescent="0.25">
      <c r="A2" t="s">
        <v>44</v>
      </c>
      <c r="B2">
        <v>4.7</v>
      </c>
      <c r="C2">
        <v>9.4</v>
      </c>
      <c r="D2">
        <v>6.8</v>
      </c>
    </row>
    <row r="3" spans="1:4" x14ac:dyDescent="0.25">
      <c r="A3" t="s">
        <v>45</v>
      </c>
      <c r="B3">
        <v>11.4</v>
      </c>
      <c r="C3">
        <v>13.6</v>
      </c>
      <c r="D3">
        <v>16.2</v>
      </c>
    </row>
    <row r="4" spans="1:4" x14ac:dyDescent="0.25">
      <c r="A4" t="s">
        <v>46</v>
      </c>
      <c r="B4">
        <v>15.5</v>
      </c>
      <c r="C4">
        <v>15.5</v>
      </c>
      <c r="D4">
        <v>16.899999999999999</v>
      </c>
    </row>
    <row r="5" spans="1:4" x14ac:dyDescent="0.25">
      <c r="A5" t="s">
        <v>47</v>
      </c>
      <c r="B5">
        <v>19.3</v>
      </c>
      <c r="C5">
        <v>14.9</v>
      </c>
      <c r="D5">
        <v>15.4</v>
      </c>
    </row>
    <row r="6" spans="1:4" x14ac:dyDescent="0.25">
      <c r="A6" t="s">
        <v>48</v>
      </c>
      <c r="B6">
        <v>12.7</v>
      </c>
      <c r="C6">
        <v>11.5</v>
      </c>
      <c r="D6">
        <v>11.4</v>
      </c>
    </row>
    <row r="7" spans="1:4" x14ac:dyDescent="0.25">
      <c r="A7" t="s">
        <v>49</v>
      </c>
      <c r="B7">
        <v>10.199999999999999</v>
      </c>
      <c r="C7">
        <v>10.6</v>
      </c>
      <c r="D7">
        <v>8.9</v>
      </c>
    </row>
    <row r="8" spans="1:4" x14ac:dyDescent="0.25">
      <c r="A8" t="s">
        <v>50</v>
      </c>
      <c r="B8">
        <v>8.1999999999999993</v>
      </c>
      <c r="C8">
        <v>8.5</v>
      </c>
      <c r="D8">
        <v>6.7</v>
      </c>
    </row>
    <row r="9" spans="1:4" x14ac:dyDescent="0.25">
      <c r="A9" t="s">
        <v>51</v>
      </c>
      <c r="B9">
        <v>6.2</v>
      </c>
      <c r="C9">
        <v>5.2</v>
      </c>
      <c r="D9">
        <v>5.6</v>
      </c>
    </row>
    <row r="10" spans="1:4" x14ac:dyDescent="0.25">
      <c r="A10" t="s">
        <v>52</v>
      </c>
      <c r="B10">
        <v>2.9</v>
      </c>
      <c r="C10">
        <v>3.3</v>
      </c>
      <c r="D10">
        <v>3.5</v>
      </c>
    </row>
    <row r="11" spans="1:4" x14ac:dyDescent="0.25">
      <c r="A11" t="s">
        <v>53</v>
      </c>
      <c r="B11">
        <v>2</v>
      </c>
      <c r="C11">
        <v>2.2000000000000002</v>
      </c>
      <c r="D11">
        <v>1.8</v>
      </c>
    </row>
    <row r="12" spans="1:4" x14ac:dyDescent="0.25">
      <c r="A12" t="s">
        <v>54</v>
      </c>
      <c r="B12">
        <v>2.1</v>
      </c>
      <c r="C12">
        <v>2</v>
      </c>
      <c r="D12">
        <v>3.2</v>
      </c>
    </row>
    <row r="13" spans="1:4" x14ac:dyDescent="0.25">
      <c r="A13" t="s">
        <v>55</v>
      </c>
      <c r="B13">
        <v>1.5</v>
      </c>
      <c r="C13">
        <v>1.3</v>
      </c>
      <c r="D13">
        <v>1.4</v>
      </c>
    </row>
    <row r="14" spans="1:4" x14ac:dyDescent="0.25">
      <c r="A14" t="s">
        <v>56</v>
      </c>
      <c r="B14">
        <v>1.4</v>
      </c>
      <c r="C14">
        <v>0.7</v>
      </c>
      <c r="D14">
        <v>0.8</v>
      </c>
    </row>
    <row r="15" spans="1:4" x14ac:dyDescent="0.25">
      <c r="A15" t="s">
        <v>57</v>
      </c>
      <c r="B15">
        <v>0.8</v>
      </c>
      <c r="C15">
        <v>0.5</v>
      </c>
      <c r="D15">
        <v>0.5</v>
      </c>
    </row>
    <row r="16" spans="1:4" x14ac:dyDescent="0.25">
      <c r="A16" t="s">
        <v>58</v>
      </c>
      <c r="B16">
        <v>1.2</v>
      </c>
      <c r="C16">
        <v>0.7</v>
      </c>
      <c r="D16">
        <v>0.9</v>
      </c>
    </row>
    <row r="17" spans="1:10" x14ac:dyDescent="0.25">
      <c r="B17">
        <v>100</v>
      </c>
      <c r="C17">
        <v>100</v>
      </c>
      <c r="D17">
        <v>100</v>
      </c>
    </row>
    <row r="18" spans="1:10" x14ac:dyDescent="0.25">
      <c r="A18" s="16" t="s">
        <v>30</v>
      </c>
      <c r="B18" s="16"/>
      <c r="C18" s="16"/>
      <c r="D18" s="16"/>
    </row>
    <row r="19" spans="1:10" x14ac:dyDescent="0.25">
      <c r="A19" s="16"/>
      <c r="B19" s="16"/>
      <c r="C19" s="16"/>
      <c r="D19" s="16"/>
      <c r="G19" s="19" t="s">
        <v>182</v>
      </c>
      <c r="H19" s="19"/>
      <c r="I19" s="19"/>
      <c r="J19" s="19"/>
    </row>
    <row r="20" spans="1:10" x14ac:dyDescent="0.25">
      <c r="A20" s="16"/>
      <c r="B20" s="16"/>
      <c r="C20" s="16"/>
      <c r="D20" s="16"/>
      <c r="G20" s="19"/>
      <c r="H20" s="19"/>
      <c r="I20" s="19"/>
      <c r="J20" s="19"/>
    </row>
    <row r="21" spans="1:10" x14ac:dyDescent="0.25">
      <c r="A21" s="16"/>
      <c r="B21" s="16"/>
      <c r="C21" s="16"/>
      <c r="D21" s="16"/>
      <c r="G21" s="19"/>
      <c r="H21" s="19"/>
      <c r="I21" s="19"/>
      <c r="J21" s="19"/>
    </row>
    <row r="22" spans="1:10" x14ac:dyDescent="0.25">
      <c r="A22" s="16"/>
      <c r="B22" s="16"/>
      <c r="C22" s="16"/>
      <c r="D22" s="16"/>
      <c r="G22" s="19"/>
      <c r="H22" s="19"/>
      <c r="I22" s="19"/>
      <c r="J22" s="19"/>
    </row>
  </sheetData>
  <mergeCells count="2">
    <mergeCell ref="A18:D22"/>
    <mergeCell ref="G19:J2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"/>
  <sheetViews>
    <sheetView workbookViewId="0">
      <selection activeCell="I3" sqref="I3:L6"/>
    </sheetView>
  </sheetViews>
  <sheetFormatPr defaultRowHeight="15" x14ac:dyDescent="0.25"/>
  <cols>
    <col min="1" max="1" width="22" bestFit="1" customWidth="1"/>
    <col min="2" max="2" width="13.85546875" bestFit="1" customWidth="1"/>
    <col min="3" max="3" width="25" bestFit="1" customWidth="1"/>
    <col min="4" max="4" width="16.42578125" bestFit="1" customWidth="1"/>
    <col min="5" max="5" width="9.28515625" bestFit="1" customWidth="1"/>
  </cols>
  <sheetData>
    <row r="1" spans="1:17" x14ac:dyDescent="0.25">
      <c r="A1" s="9"/>
    </row>
    <row r="2" spans="1:17" x14ac:dyDescent="0.25">
      <c r="A2" t="s">
        <v>123</v>
      </c>
      <c r="B2" s="15" t="s">
        <v>41</v>
      </c>
      <c r="C2" s="15" t="s">
        <v>122</v>
      </c>
      <c r="D2" s="15" t="s">
        <v>8</v>
      </c>
      <c r="E2" s="15" t="s">
        <v>6</v>
      </c>
      <c r="N2" s="16" t="s">
        <v>30</v>
      </c>
      <c r="O2" s="16"/>
      <c r="P2" s="16"/>
      <c r="Q2" s="16"/>
    </row>
    <row r="3" spans="1:17" x14ac:dyDescent="0.25">
      <c r="I3" s="19" t="s">
        <v>182</v>
      </c>
      <c r="J3" s="19"/>
      <c r="K3" s="19"/>
      <c r="L3" s="19"/>
      <c r="N3" s="16"/>
      <c r="O3" s="16"/>
      <c r="P3" s="16"/>
      <c r="Q3" s="16"/>
    </row>
    <row r="4" spans="1:17" ht="15" customHeight="1" x14ac:dyDescent="0.25">
      <c r="A4" t="s">
        <v>0</v>
      </c>
      <c r="B4">
        <v>37.799999999999997</v>
      </c>
      <c r="C4">
        <v>37.200000000000003</v>
      </c>
      <c r="D4">
        <v>41.4</v>
      </c>
      <c r="E4">
        <v>37.799999999999997</v>
      </c>
      <c r="I4" s="19"/>
      <c r="J4" s="19"/>
      <c r="K4" s="19"/>
      <c r="L4" s="19"/>
      <c r="N4" s="16"/>
      <c r="O4" s="16"/>
      <c r="P4" s="16"/>
      <c r="Q4" s="16"/>
    </row>
    <row r="5" spans="1:17" x14ac:dyDescent="0.25">
      <c r="A5" t="s">
        <v>1</v>
      </c>
      <c r="B5">
        <v>11.3</v>
      </c>
      <c r="C5">
        <v>13.2</v>
      </c>
      <c r="D5">
        <v>15</v>
      </c>
      <c r="E5">
        <v>11.4</v>
      </c>
      <c r="I5" s="19"/>
      <c r="J5" s="19"/>
      <c r="K5" s="19"/>
      <c r="L5" s="19"/>
      <c r="N5" s="16"/>
      <c r="O5" s="16"/>
      <c r="P5" s="16"/>
      <c r="Q5" s="16"/>
    </row>
    <row r="6" spans="1:17" x14ac:dyDescent="0.25">
      <c r="A6" t="s">
        <v>2</v>
      </c>
      <c r="B6">
        <v>0.9</v>
      </c>
      <c r="C6">
        <v>1</v>
      </c>
      <c r="D6">
        <v>1.2</v>
      </c>
      <c r="E6">
        <v>0.9</v>
      </c>
      <c r="I6" s="19"/>
      <c r="J6" s="19"/>
      <c r="K6" s="19"/>
      <c r="L6" s="19"/>
      <c r="N6" s="16"/>
      <c r="O6" s="16"/>
      <c r="P6" s="16"/>
      <c r="Q6" s="16"/>
    </row>
    <row r="7" spans="1:17" x14ac:dyDescent="0.25">
      <c r="A7" t="s">
        <v>3</v>
      </c>
      <c r="B7">
        <v>46.9</v>
      </c>
      <c r="C7">
        <v>45.5</v>
      </c>
      <c r="D7">
        <v>40.200000000000003</v>
      </c>
      <c r="E7">
        <v>46.8</v>
      </c>
    </row>
    <row r="8" spans="1:17" x14ac:dyDescent="0.25">
      <c r="A8" t="s">
        <v>4</v>
      </c>
      <c r="B8">
        <v>1.4</v>
      </c>
      <c r="C8">
        <v>0.8</v>
      </c>
      <c r="D8">
        <v>0.6</v>
      </c>
      <c r="E8">
        <v>1.4</v>
      </c>
    </row>
    <row r="9" spans="1:17" x14ac:dyDescent="0.25">
      <c r="A9" t="s">
        <v>5</v>
      </c>
      <c r="B9">
        <v>1.8</v>
      </c>
      <c r="C9">
        <v>2.2999999999999998</v>
      </c>
      <c r="D9">
        <v>1.6</v>
      </c>
      <c r="E9">
        <v>1.8</v>
      </c>
    </row>
    <row r="13" spans="1:17" x14ac:dyDescent="0.25">
      <c r="A13" s="9"/>
    </row>
    <row r="14" spans="1:17" x14ac:dyDescent="0.25">
      <c r="B14" t="s">
        <v>41</v>
      </c>
      <c r="C14" t="s">
        <v>39</v>
      </c>
      <c r="D14" t="s">
        <v>8</v>
      </c>
      <c r="E14" t="s">
        <v>6</v>
      </c>
    </row>
    <row r="15" spans="1:17" x14ac:dyDescent="0.25">
      <c r="A15" t="s">
        <v>0</v>
      </c>
      <c r="B15" s="10">
        <f>B4</f>
        <v>37.799999999999997</v>
      </c>
      <c r="C15" s="10">
        <f t="shared" ref="C15:E15" si="0">C4</f>
        <v>37.200000000000003</v>
      </c>
      <c r="D15" s="10">
        <f t="shared" si="0"/>
        <v>41.4</v>
      </c>
      <c r="E15" s="10">
        <f t="shared" si="0"/>
        <v>37.799999999999997</v>
      </c>
    </row>
    <row r="16" spans="1:17" x14ac:dyDescent="0.25">
      <c r="A16" t="s">
        <v>40</v>
      </c>
      <c r="B16" s="10">
        <f>B5+B7</f>
        <v>58.2</v>
      </c>
      <c r="C16" s="10">
        <f t="shared" ref="C16:E16" si="1">C5+C7</f>
        <v>58.7</v>
      </c>
      <c r="D16" s="10">
        <f t="shared" si="1"/>
        <v>55.2</v>
      </c>
      <c r="E16" s="10">
        <f t="shared" si="1"/>
        <v>58.199999999999996</v>
      </c>
    </row>
    <row r="17" spans="1:5" x14ac:dyDescent="0.25">
      <c r="A17" t="s">
        <v>2</v>
      </c>
      <c r="B17" s="10">
        <f>B6</f>
        <v>0.9</v>
      </c>
      <c r="C17" s="10">
        <f t="shared" ref="C17:E17" si="2">C6</f>
        <v>1</v>
      </c>
      <c r="D17" s="10">
        <f t="shared" si="2"/>
        <v>1.2</v>
      </c>
      <c r="E17" s="10">
        <f t="shared" si="2"/>
        <v>0.9</v>
      </c>
    </row>
    <row r="18" spans="1:5" x14ac:dyDescent="0.25">
      <c r="A18" t="s">
        <v>4</v>
      </c>
      <c r="B18" s="10">
        <f>B8</f>
        <v>1.4</v>
      </c>
      <c r="C18" s="10">
        <f t="shared" ref="C18:E18" si="3">C8</f>
        <v>0.8</v>
      </c>
      <c r="D18" s="10">
        <f t="shared" si="3"/>
        <v>0.6</v>
      </c>
      <c r="E18" s="10">
        <f t="shared" si="3"/>
        <v>1.4</v>
      </c>
    </row>
    <row r="19" spans="1:5" x14ac:dyDescent="0.25">
      <c r="A19" t="s">
        <v>5</v>
      </c>
      <c r="B19" s="10">
        <f>B9</f>
        <v>1.8</v>
      </c>
      <c r="C19" s="10">
        <f t="shared" ref="C19:E19" si="4">C9</f>
        <v>2.2999999999999998</v>
      </c>
      <c r="D19" s="10">
        <f t="shared" si="4"/>
        <v>1.6</v>
      </c>
      <c r="E19" s="10">
        <f t="shared" si="4"/>
        <v>1.8</v>
      </c>
    </row>
    <row r="20" spans="1:5" x14ac:dyDescent="0.25">
      <c r="A20" t="s">
        <v>6</v>
      </c>
    </row>
    <row r="22" spans="1:5" x14ac:dyDescent="0.25">
      <c r="B22" s="6"/>
    </row>
  </sheetData>
  <mergeCells count="2">
    <mergeCell ref="N2:Q6"/>
    <mergeCell ref="I3:L6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18"/>
  <sheetViews>
    <sheetView workbookViewId="0">
      <selection activeCell="B14" sqref="B14:D18"/>
    </sheetView>
  </sheetViews>
  <sheetFormatPr defaultRowHeight="15" x14ac:dyDescent="0.25"/>
  <cols>
    <col min="1" max="1" width="8.85546875" bestFit="1" customWidth="1"/>
    <col min="2" max="2" width="10" bestFit="1" customWidth="1"/>
    <col min="3" max="3" width="17.7109375" bestFit="1" customWidth="1"/>
    <col min="4" max="4" width="18.28515625" bestFit="1" customWidth="1"/>
  </cols>
  <sheetData>
    <row r="2" spans="1:17" x14ac:dyDescent="0.25">
      <c r="A2" s="9" t="s">
        <v>124</v>
      </c>
      <c r="B2" s="15" t="s">
        <v>38</v>
      </c>
      <c r="C2" s="15" t="s">
        <v>59</v>
      </c>
      <c r="D2" s="15" t="s">
        <v>60</v>
      </c>
      <c r="E2" s="1" t="s">
        <v>6</v>
      </c>
    </row>
    <row r="4" spans="1:17" x14ac:dyDescent="0.25">
      <c r="A4" t="s">
        <v>0</v>
      </c>
      <c r="B4">
        <v>30.2</v>
      </c>
      <c r="C4">
        <v>32.799999999999997</v>
      </c>
      <c r="D4">
        <v>48.1</v>
      </c>
      <c r="E4">
        <v>36.200000000000003</v>
      </c>
      <c r="N4" s="16" t="s">
        <v>30</v>
      </c>
      <c r="O4" s="16"/>
      <c r="P4" s="16"/>
      <c r="Q4" s="16"/>
    </row>
    <row r="5" spans="1:17" x14ac:dyDescent="0.25">
      <c r="A5" t="s">
        <v>1</v>
      </c>
      <c r="B5">
        <v>13.1</v>
      </c>
      <c r="C5">
        <v>13</v>
      </c>
      <c r="D5">
        <v>12.5</v>
      </c>
      <c r="E5">
        <v>12.9</v>
      </c>
      <c r="N5" s="16"/>
      <c r="O5" s="16"/>
      <c r="P5" s="16"/>
      <c r="Q5" s="16"/>
    </row>
    <row r="6" spans="1:17" x14ac:dyDescent="0.25">
      <c r="A6" t="s">
        <v>2</v>
      </c>
      <c r="B6">
        <v>0.8</v>
      </c>
      <c r="C6">
        <v>1</v>
      </c>
      <c r="D6">
        <v>0.9</v>
      </c>
      <c r="E6">
        <v>0.9</v>
      </c>
      <c r="N6" s="16"/>
      <c r="O6" s="16"/>
      <c r="P6" s="16"/>
      <c r="Q6" s="16"/>
    </row>
    <row r="7" spans="1:17" x14ac:dyDescent="0.25">
      <c r="A7" t="s">
        <v>3</v>
      </c>
      <c r="B7">
        <v>51.8</v>
      </c>
      <c r="C7">
        <v>48.9</v>
      </c>
      <c r="D7">
        <v>35</v>
      </c>
      <c r="E7">
        <v>45.9</v>
      </c>
      <c r="N7" s="16"/>
      <c r="O7" s="16"/>
      <c r="P7" s="16"/>
      <c r="Q7" s="16"/>
    </row>
    <row r="8" spans="1:17" x14ac:dyDescent="0.25">
      <c r="A8" t="s">
        <v>4</v>
      </c>
      <c r="B8">
        <v>1.8</v>
      </c>
      <c r="C8">
        <v>1.6</v>
      </c>
      <c r="D8">
        <v>1.7</v>
      </c>
      <c r="E8">
        <v>1.6</v>
      </c>
      <c r="N8" s="16"/>
      <c r="O8" s="16"/>
      <c r="P8" s="16"/>
      <c r="Q8" s="16"/>
    </row>
    <row r="9" spans="1:17" x14ac:dyDescent="0.25">
      <c r="A9" t="s">
        <v>5</v>
      </c>
      <c r="B9">
        <v>2.2999999999999998</v>
      </c>
      <c r="C9">
        <v>2.7</v>
      </c>
      <c r="D9">
        <v>1.7</v>
      </c>
      <c r="E9">
        <v>2.4</v>
      </c>
    </row>
    <row r="10" spans="1:17" x14ac:dyDescent="0.25">
      <c r="A10" t="s">
        <v>6</v>
      </c>
      <c r="N10" s="19" t="s">
        <v>182</v>
      </c>
      <c r="O10" s="19"/>
      <c r="P10" s="19"/>
      <c r="Q10" s="19"/>
    </row>
    <row r="11" spans="1:17" x14ac:dyDescent="0.25">
      <c r="N11" s="19"/>
      <c r="O11" s="19"/>
      <c r="P11" s="19"/>
      <c r="Q11" s="19"/>
    </row>
    <row r="12" spans="1:17" x14ac:dyDescent="0.25">
      <c r="N12" s="19"/>
      <c r="O12" s="19"/>
      <c r="P12" s="19"/>
      <c r="Q12" s="19"/>
    </row>
    <row r="13" spans="1:17" x14ac:dyDescent="0.25">
      <c r="B13" t="s">
        <v>38</v>
      </c>
      <c r="C13" t="s">
        <v>42</v>
      </c>
      <c r="D13" t="s">
        <v>43</v>
      </c>
      <c r="N13" s="19"/>
      <c r="O13" s="19"/>
      <c r="P13" s="19"/>
      <c r="Q13" s="19"/>
    </row>
    <row r="14" spans="1:17" x14ac:dyDescent="0.25">
      <c r="A14" t="s">
        <v>0</v>
      </c>
      <c r="B14" s="7">
        <f>B4/100</f>
        <v>0.30199999999999999</v>
      </c>
      <c r="C14" s="7">
        <f t="shared" ref="C14:D14" si="0">C4/100</f>
        <v>0.32799999999999996</v>
      </c>
      <c r="D14" s="7">
        <f t="shared" si="0"/>
        <v>0.48100000000000004</v>
      </c>
    </row>
    <row r="15" spans="1:17" x14ac:dyDescent="0.25">
      <c r="A15" t="s">
        <v>40</v>
      </c>
      <c r="B15" s="7">
        <f>(B5+B7)/100</f>
        <v>0.64899999999999991</v>
      </c>
      <c r="C15" s="7">
        <f t="shared" ref="C15:D15" si="1">(C5+C7)/100</f>
        <v>0.61899999999999999</v>
      </c>
      <c r="D15" s="7">
        <f t="shared" si="1"/>
        <v>0.47499999999999998</v>
      </c>
    </row>
    <row r="16" spans="1:17" x14ac:dyDescent="0.25">
      <c r="A16" t="s">
        <v>2</v>
      </c>
      <c r="B16" s="7">
        <f t="shared" ref="B16:D16" si="2">B6/100</f>
        <v>8.0000000000000002E-3</v>
      </c>
      <c r="C16" s="7">
        <f t="shared" si="2"/>
        <v>0.01</v>
      </c>
      <c r="D16" s="7">
        <f t="shared" si="2"/>
        <v>9.0000000000000011E-3</v>
      </c>
    </row>
    <row r="17" spans="1:4" x14ac:dyDescent="0.25">
      <c r="A17" t="s">
        <v>4</v>
      </c>
      <c r="B17" s="7">
        <f t="shared" ref="B17:D18" si="3">B8/100</f>
        <v>1.8000000000000002E-2</v>
      </c>
      <c r="C17" s="7">
        <f t="shared" si="3"/>
        <v>1.6E-2</v>
      </c>
      <c r="D17" s="7">
        <f t="shared" si="3"/>
        <v>1.7000000000000001E-2</v>
      </c>
    </row>
    <row r="18" spans="1:4" x14ac:dyDescent="0.25">
      <c r="A18" t="s">
        <v>5</v>
      </c>
      <c r="B18" s="7">
        <f t="shared" si="3"/>
        <v>2.3E-2</v>
      </c>
      <c r="C18" s="7">
        <f t="shared" si="3"/>
        <v>2.7000000000000003E-2</v>
      </c>
      <c r="D18" s="7">
        <f t="shared" si="3"/>
        <v>1.7000000000000001E-2</v>
      </c>
    </row>
  </sheetData>
  <mergeCells count="2">
    <mergeCell ref="N4:Q8"/>
    <mergeCell ref="N10:Q1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3"/>
  <sheetViews>
    <sheetView workbookViewId="0">
      <selection activeCell="P33" sqref="P33"/>
    </sheetView>
  </sheetViews>
  <sheetFormatPr defaultRowHeight="15" x14ac:dyDescent="0.25"/>
  <cols>
    <col min="2" max="2" width="18.28515625" bestFit="1" customWidth="1"/>
    <col min="3" max="3" width="17.7109375" bestFit="1" customWidth="1"/>
    <col min="4" max="4" width="8" bestFit="1" customWidth="1"/>
  </cols>
  <sheetData>
    <row r="1" spans="1:18" x14ac:dyDescent="0.25">
      <c r="A1" t="s">
        <v>37</v>
      </c>
    </row>
    <row r="2" spans="1:18" x14ac:dyDescent="0.25">
      <c r="H2" s="18" t="s">
        <v>129</v>
      </c>
      <c r="I2" s="18"/>
      <c r="J2" s="18"/>
    </row>
    <row r="3" spans="1:18" x14ac:dyDescent="0.25">
      <c r="A3" t="s">
        <v>125</v>
      </c>
      <c r="B3" t="s">
        <v>60</v>
      </c>
      <c r="C3" t="s">
        <v>59</v>
      </c>
      <c r="D3" t="s">
        <v>38</v>
      </c>
      <c r="H3" s="18"/>
      <c r="I3" s="18"/>
      <c r="J3" s="18"/>
      <c r="O3" s="16" t="s">
        <v>30</v>
      </c>
      <c r="P3" s="16"/>
      <c r="Q3" s="16"/>
      <c r="R3" s="16"/>
    </row>
    <row r="4" spans="1:18" x14ac:dyDescent="0.25">
      <c r="A4">
        <v>2014</v>
      </c>
      <c r="B4">
        <v>78</v>
      </c>
      <c r="C4">
        <v>291</v>
      </c>
      <c r="D4">
        <v>27</v>
      </c>
      <c r="H4" s="18"/>
      <c r="I4" s="18"/>
      <c r="J4" s="18"/>
      <c r="O4" s="16"/>
      <c r="P4" s="16"/>
      <c r="Q4" s="16"/>
      <c r="R4" s="16"/>
    </row>
    <row r="5" spans="1:18" x14ac:dyDescent="0.25">
      <c r="A5">
        <v>2015</v>
      </c>
      <c r="B5">
        <v>468</v>
      </c>
      <c r="C5">
        <v>1777</v>
      </c>
      <c r="D5">
        <v>259</v>
      </c>
      <c r="H5" s="18"/>
      <c r="I5" s="18"/>
      <c r="J5" s="18"/>
      <c r="O5" s="16"/>
      <c r="P5" s="16"/>
      <c r="Q5" s="16"/>
      <c r="R5" s="16"/>
    </row>
    <row r="6" spans="1:18" x14ac:dyDescent="0.25">
      <c r="A6">
        <v>2016</v>
      </c>
      <c r="B6">
        <v>650</v>
      </c>
      <c r="C6">
        <v>2358</v>
      </c>
      <c r="D6">
        <v>344</v>
      </c>
      <c r="O6" s="16"/>
      <c r="P6" s="16"/>
      <c r="Q6" s="16"/>
      <c r="R6" s="16"/>
    </row>
    <row r="7" spans="1:18" x14ac:dyDescent="0.25">
      <c r="A7">
        <v>2017</v>
      </c>
      <c r="B7">
        <v>573</v>
      </c>
      <c r="C7">
        <v>1971</v>
      </c>
      <c r="D7">
        <v>438</v>
      </c>
      <c r="O7" s="16"/>
      <c r="P7" s="16"/>
      <c r="Q7" s="16"/>
      <c r="R7" s="16"/>
    </row>
    <row r="8" spans="1:18" x14ac:dyDescent="0.25">
      <c r="A8">
        <v>2018</v>
      </c>
      <c r="B8">
        <v>539</v>
      </c>
      <c r="C8">
        <v>2154</v>
      </c>
      <c r="D8">
        <v>484</v>
      </c>
    </row>
    <row r="9" spans="1:18" x14ac:dyDescent="0.25">
      <c r="A9">
        <v>2019</v>
      </c>
      <c r="B9">
        <v>517</v>
      </c>
      <c r="C9">
        <v>2079</v>
      </c>
      <c r="D9">
        <v>467</v>
      </c>
    </row>
    <row r="10" spans="1:18" x14ac:dyDescent="0.25">
      <c r="A10">
        <v>2020</v>
      </c>
      <c r="B10">
        <v>443</v>
      </c>
      <c r="C10">
        <v>1859</v>
      </c>
      <c r="D10">
        <v>441</v>
      </c>
    </row>
    <row r="11" spans="1:18" x14ac:dyDescent="0.25">
      <c r="A11">
        <v>2021</v>
      </c>
      <c r="B11">
        <v>565</v>
      </c>
      <c r="C11">
        <v>2120</v>
      </c>
      <c r="D11">
        <v>418</v>
      </c>
    </row>
    <row r="12" spans="1:18" x14ac:dyDescent="0.25">
      <c r="A12">
        <v>2022</v>
      </c>
      <c r="B12">
        <v>753</v>
      </c>
      <c r="C12">
        <v>2540</v>
      </c>
      <c r="D12">
        <v>555</v>
      </c>
    </row>
    <row r="13" spans="1:18" x14ac:dyDescent="0.25">
      <c r="A13">
        <v>2023</v>
      </c>
      <c r="B13">
        <v>1332</v>
      </c>
      <c r="C13">
        <v>3524</v>
      </c>
      <c r="D13">
        <v>659</v>
      </c>
    </row>
  </sheetData>
  <mergeCells count="2">
    <mergeCell ref="O3:R7"/>
    <mergeCell ref="H2:J5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"/>
  <sheetViews>
    <sheetView workbookViewId="0">
      <selection activeCell="O4" sqref="O4"/>
    </sheetView>
  </sheetViews>
  <sheetFormatPr defaultRowHeight="15" x14ac:dyDescent="0.25"/>
  <cols>
    <col min="1" max="1" width="5" bestFit="1" customWidth="1"/>
    <col min="3" max="3" width="16.85546875" bestFit="1" customWidth="1"/>
    <col min="4" max="4" width="15.42578125" bestFit="1" customWidth="1"/>
  </cols>
  <sheetData>
    <row r="1" spans="1:18" x14ac:dyDescent="0.25">
      <c r="B1" t="s">
        <v>27</v>
      </c>
      <c r="C1" t="s">
        <v>28</v>
      </c>
      <c r="D1" t="s">
        <v>29</v>
      </c>
      <c r="E1" s="2"/>
      <c r="G1" s="3"/>
      <c r="J1" s="2"/>
      <c r="L1" s="3"/>
      <c r="P1" s="20" t="s">
        <v>30</v>
      </c>
      <c r="Q1" s="20"/>
      <c r="R1" s="20"/>
    </row>
    <row r="2" spans="1:18" x14ac:dyDescent="0.25">
      <c r="A2">
        <v>2018</v>
      </c>
      <c r="B2">
        <v>4136</v>
      </c>
      <c r="C2">
        <v>4136</v>
      </c>
      <c r="D2">
        <v>4123</v>
      </c>
      <c r="E2" s="2"/>
      <c r="G2" s="3"/>
      <c r="J2" s="2"/>
      <c r="L2" s="3"/>
      <c r="P2" s="20"/>
      <c r="Q2" s="20"/>
      <c r="R2" s="20"/>
    </row>
    <row r="3" spans="1:18" x14ac:dyDescent="0.25">
      <c r="A3">
        <v>2019</v>
      </c>
      <c r="B3">
        <v>4344</v>
      </c>
      <c r="C3">
        <v>3719</v>
      </c>
      <c r="D3">
        <v>2805</v>
      </c>
      <c r="E3" s="2"/>
      <c r="G3" s="3"/>
      <c r="J3" s="2"/>
      <c r="L3" s="3"/>
      <c r="P3" s="20"/>
      <c r="Q3" s="20"/>
      <c r="R3" s="20"/>
    </row>
    <row r="4" spans="1:18" x14ac:dyDescent="0.25">
      <c r="A4">
        <v>2020</v>
      </c>
      <c r="B4">
        <v>3961</v>
      </c>
      <c r="C4">
        <v>3801</v>
      </c>
      <c r="D4">
        <v>2802</v>
      </c>
      <c r="E4" s="2"/>
      <c r="F4" s="3"/>
      <c r="G4" s="3"/>
      <c r="J4" s="2"/>
      <c r="L4" s="3"/>
      <c r="P4" s="20"/>
      <c r="Q4" s="20"/>
      <c r="R4" s="20"/>
    </row>
    <row r="5" spans="1:18" x14ac:dyDescent="0.25">
      <c r="A5">
        <v>2021</v>
      </c>
      <c r="B5">
        <v>4540</v>
      </c>
      <c r="C5">
        <v>3319</v>
      </c>
      <c r="D5">
        <v>2528</v>
      </c>
      <c r="F5" s="3">
        <f>(B7/B6)-1</f>
        <v>0.34270617097565581</v>
      </c>
      <c r="G5" s="3">
        <f>(C7/C6)-1</f>
        <v>0.26465968586387434</v>
      </c>
      <c r="H5" s="3">
        <f>(D7/D6)-1</f>
        <v>0.30118499012508226</v>
      </c>
      <c r="J5" s="2"/>
      <c r="L5" s="3"/>
    </row>
    <row r="6" spans="1:18" x14ac:dyDescent="0.25">
      <c r="A6">
        <v>2022</v>
      </c>
      <c r="B6">
        <v>5299</v>
      </c>
      <c r="C6">
        <v>3820</v>
      </c>
      <c r="D6">
        <v>3038</v>
      </c>
      <c r="J6" s="2"/>
      <c r="L6" s="3"/>
    </row>
    <row r="7" spans="1:18" x14ac:dyDescent="0.25">
      <c r="A7">
        <v>2023</v>
      </c>
      <c r="B7">
        <v>7115</v>
      </c>
      <c r="C7">
        <v>4831</v>
      </c>
      <c r="D7">
        <v>3953</v>
      </c>
      <c r="J7" s="2"/>
      <c r="L7" s="3"/>
    </row>
  </sheetData>
  <mergeCells count="1">
    <mergeCell ref="P1:R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7"/>
  <sheetViews>
    <sheetView workbookViewId="0">
      <selection activeCell="D15" sqref="D15"/>
    </sheetView>
  </sheetViews>
  <sheetFormatPr defaultRowHeight="15" x14ac:dyDescent="0.25"/>
  <cols>
    <col min="3" max="3" width="16.85546875" bestFit="1" customWidth="1"/>
    <col min="4" max="4" width="9.140625" customWidth="1"/>
  </cols>
  <sheetData>
    <row r="1" spans="1:18" x14ac:dyDescent="0.25">
      <c r="B1" t="s">
        <v>27</v>
      </c>
      <c r="C1" t="s">
        <v>28</v>
      </c>
      <c r="D1" t="s">
        <v>29</v>
      </c>
      <c r="E1" s="2"/>
      <c r="J1" s="2"/>
      <c r="P1" s="20" t="s">
        <v>30</v>
      </c>
      <c r="Q1" s="20"/>
      <c r="R1" s="20"/>
    </row>
    <row r="2" spans="1:18" x14ac:dyDescent="0.25">
      <c r="A2">
        <v>2018</v>
      </c>
      <c r="B2">
        <v>719</v>
      </c>
      <c r="C2">
        <v>719</v>
      </c>
      <c r="D2">
        <v>719</v>
      </c>
      <c r="E2" s="2"/>
      <c r="G2" s="3"/>
      <c r="J2" s="2"/>
      <c r="L2" s="3"/>
      <c r="P2" s="20"/>
      <c r="Q2" s="20"/>
      <c r="R2" s="20"/>
    </row>
    <row r="3" spans="1:18" x14ac:dyDescent="0.25">
      <c r="A3">
        <v>2019</v>
      </c>
      <c r="B3">
        <v>986</v>
      </c>
      <c r="C3">
        <v>689</v>
      </c>
      <c r="D3">
        <v>370</v>
      </c>
      <c r="E3" s="2"/>
      <c r="G3" s="3"/>
      <c r="J3" s="2"/>
      <c r="P3" s="20"/>
      <c r="Q3" s="20"/>
      <c r="R3" s="20"/>
    </row>
    <row r="4" spans="1:18" x14ac:dyDescent="0.25">
      <c r="A4">
        <v>2020</v>
      </c>
      <c r="B4">
        <v>972</v>
      </c>
      <c r="C4">
        <v>749</v>
      </c>
      <c r="D4">
        <v>432</v>
      </c>
      <c r="P4" s="20"/>
      <c r="Q4" s="20"/>
      <c r="R4" s="20"/>
    </row>
    <row r="5" spans="1:18" x14ac:dyDescent="0.25">
      <c r="A5">
        <v>2021</v>
      </c>
      <c r="B5">
        <v>1387</v>
      </c>
      <c r="C5">
        <v>732</v>
      </c>
      <c r="D5">
        <v>425</v>
      </c>
      <c r="F5" s="3">
        <f>(B7/B6)-1</f>
        <v>0.38088012139605465</v>
      </c>
      <c r="G5" s="3">
        <f>(C7/C6)-1</f>
        <v>0.47989510489510478</v>
      </c>
      <c r="H5" s="3">
        <f>(D7/D6)-1</f>
        <v>0.48987341772151893</v>
      </c>
    </row>
    <row r="6" spans="1:18" x14ac:dyDescent="0.25">
      <c r="A6">
        <v>2022</v>
      </c>
      <c r="B6">
        <v>1977</v>
      </c>
      <c r="C6">
        <v>1144</v>
      </c>
      <c r="D6">
        <v>790</v>
      </c>
    </row>
    <row r="7" spans="1:18" x14ac:dyDescent="0.25">
      <c r="A7">
        <v>2023</v>
      </c>
      <c r="B7">
        <v>2730</v>
      </c>
      <c r="C7">
        <v>1693</v>
      </c>
      <c r="D7">
        <v>1177</v>
      </c>
    </row>
  </sheetData>
  <mergeCells count="1">
    <mergeCell ref="P1:R4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"/>
  <sheetViews>
    <sheetView workbookViewId="0">
      <selection activeCell="J2" sqref="J2"/>
    </sheetView>
  </sheetViews>
  <sheetFormatPr defaultRowHeight="15" x14ac:dyDescent="0.25"/>
  <cols>
    <col min="3" max="3" width="16.85546875" bestFit="1" customWidth="1"/>
    <col min="4" max="4" width="15.42578125" bestFit="1" customWidth="1"/>
  </cols>
  <sheetData>
    <row r="1" spans="1:19" ht="15.75" x14ac:dyDescent="0.25">
      <c r="B1" t="s">
        <v>27</v>
      </c>
      <c r="C1" t="s">
        <v>28</v>
      </c>
      <c r="D1" t="s">
        <v>29</v>
      </c>
      <c r="G1" s="21" t="s">
        <v>126</v>
      </c>
      <c r="H1" s="21"/>
      <c r="I1" s="21"/>
      <c r="J1" s="21"/>
    </row>
    <row r="2" spans="1:19" x14ac:dyDescent="0.25">
      <c r="A2">
        <v>2018</v>
      </c>
      <c r="B2">
        <v>3758</v>
      </c>
      <c r="C2">
        <v>3758</v>
      </c>
      <c r="D2">
        <v>3750</v>
      </c>
      <c r="E2" s="2"/>
      <c r="J2" s="2"/>
      <c r="Q2" s="20" t="s">
        <v>30</v>
      </c>
      <c r="R2" s="20"/>
      <c r="S2" s="20"/>
    </row>
    <row r="3" spans="1:19" x14ac:dyDescent="0.25">
      <c r="A3">
        <v>2019</v>
      </c>
      <c r="B3">
        <v>3967</v>
      </c>
      <c r="C3">
        <v>3344</v>
      </c>
      <c r="D3">
        <v>2540</v>
      </c>
      <c r="E3" s="2"/>
      <c r="G3" s="3"/>
      <c r="J3" s="2"/>
      <c r="L3" s="3"/>
      <c r="Q3" s="20"/>
      <c r="R3" s="20"/>
      <c r="S3" s="20"/>
    </row>
    <row r="4" spans="1:19" x14ac:dyDescent="0.25">
      <c r="A4">
        <v>2020</v>
      </c>
      <c r="B4">
        <v>2243</v>
      </c>
      <c r="C4">
        <v>1853</v>
      </c>
      <c r="D4">
        <v>1368</v>
      </c>
      <c r="E4" s="2"/>
      <c r="J4" s="2"/>
      <c r="Q4" s="20"/>
      <c r="R4" s="20"/>
      <c r="S4" s="20"/>
    </row>
    <row r="5" spans="1:19" x14ac:dyDescent="0.25">
      <c r="A5">
        <v>2021</v>
      </c>
      <c r="B5">
        <v>2391</v>
      </c>
      <c r="C5">
        <v>1673</v>
      </c>
      <c r="D5">
        <v>1332</v>
      </c>
      <c r="E5" s="3">
        <f>(B7/B6)-1</f>
        <v>0.31898305084745759</v>
      </c>
      <c r="F5" s="3">
        <f>(C7/C6)-1</f>
        <v>0.31151003167898628</v>
      </c>
      <c r="G5" s="3">
        <f>(D7/D6)-1</f>
        <v>0.34886908841672382</v>
      </c>
      <c r="Q5" s="20"/>
      <c r="R5" s="20"/>
      <c r="S5" s="20"/>
    </row>
    <row r="6" spans="1:19" x14ac:dyDescent="0.25">
      <c r="A6">
        <v>2022</v>
      </c>
      <c r="B6">
        <v>2950</v>
      </c>
      <c r="C6">
        <v>1894</v>
      </c>
      <c r="D6">
        <v>1459</v>
      </c>
    </row>
    <row r="7" spans="1:19" x14ac:dyDescent="0.25">
      <c r="A7">
        <v>2023</v>
      </c>
      <c r="B7">
        <v>3891</v>
      </c>
      <c r="C7">
        <v>2484</v>
      </c>
      <c r="D7">
        <v>1968</v>
      </c>
    </row>
  </sheetData>
  <mergeCells count="2">
    <mergeCell ref="Q2:S5"/>
    <mergeCell ref="G1:J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7"/>
  <sheetViews>
    <sheetView workbookViewId="0">
      <selection activeCell="P11" sqref="P11"/>
    </sheetView>
  </sheetViews>
  <sheetFormatPr defaultRowHeight="15" x14ac:dyDescent="0.25"/>
  <cols>
    <col min="3" max="3" width="16.85546875" bestFit="1" customWidth="1"/>
    <col min="4" max="4" width="15.42578125" bestFit="1" customWidth="1"/>
  </cols>
  <sheetData>
    <row r="1" spans="1:19" ht="15.75" x14ac:dyDescent="0.25">
      <c r="B1" t="s">
        <v>27</v>
      </c>
      <c r="C1" t="s">
        <v>28</v>
      </c>
      <c r="D1" t="s">
        <v>29</v>
      </c>
      <c r="G1" s="21" t="s">
        <v>126</v>
      </c>
      <c r="H1" s="21"/>
      <c r="I1" s="21"/>
      <c r="J1" s="21"/>
    </row>
    <row r="2" spans="1:19" x14ac:dyDescent="0.25">
      <c r="A2">
        <v>2018</v>
      </c>
      <c r="B2">
        <v>1571</v>
      </c>
      <c r="C2">
        <v>1571</v>
      </c>
      <c r="D2">
        <v>1562</v>
      </c>
      <c r="E2" s="2"/>
      <c r="J2" s="2"/>
      <c r="Q2" s="20" t="s">
        <v>30</v>
      </c>
      <c r="R2" s="20"/>
      <c r="S2" s="20"/>
    </row>
    <row r="3" spans="1:19" x14ac:dyDescent="0.25">
      <c r="A3">
        <v>2019</v>
      </c>
      <c r="B3">
        <v>1784</v>
      </c>
      <c r="C3">
        <v>1308</v>
      </c>
      <c r="D3">
        <v>842</v>
      </c>
      <c r="E3" s="2"/>
      <c r="G3" s="3"/>
      <c r="J3" s="2"/>
      <c r="L3" s="3"/>
      <c r="Q3" s="20"/>
      <c r="R3" s="20"/>
      <c r="S3" s="20"/>
    </row>
    <row r="4" spans="1:19" x14ac:dyDescent="0.25">
      <c r="A4">
        <v>2020</v>
      </c>
      <c r="B4">
        <v>933</v>
      </c>
      <c r="C4">
        <v>648</v>
      </c>
      <c r="D4">
        <v>397</v>
      </c>
      <c r="E4" s="2"/>
      <c r="J4" s="2"/>
      <c r="Q4" s="20"/>
      <c r="R4" s="20"/>
      <c r="S4" s="20"/>
    </row>
    <row r="5" spans="1:19" x14ac:dyDescent="0.25">
      <c r="A5">
        <v>2021</v>
      </c>
      <c r="B5">
        <v>1064</v>
      </c>
      <c r="C5">
        <v>581</v>
      </c>
      <c r="D5">
        <v>349</v>
      </c>
      <c r="F5" s="3">
        <f>(B7/B6)-1</f>
        <v>0.49430894308943096</v>
      </c>
      <c r="G5" s="3">
        <f>(C7/C6)-1</f>
        <v>0.24934036939313975</v>
      </c>
      <c r="H5" s="3">
        <f>(D7/D6)-1</f>
        <v>0.33723196881091622</v>
      </c>
      <c r="Q5" s="20"/>
      <c r="R5" s="20"/>
      <c r="S5" s="20"/>
    </row>
    <row r="6" spans="1:19" x14ac:dyDescent="0.25">
      <c r="A6">
        <v>2022</v>
      </c>
      <c r="B6">
        <v>1230</v>
      </c>
      <c r="C6">
        <v>758</v>
      </c>
      <c r="D6">
        <v>513</v>
      </c>
    </row>
    <row r="7" spans="1:19" x14ac:dyDescent="0.25">
      <c r="A7">
        <v>2023</v>
      </c>
      <c r="B7">
        <v>1838</v>
      </c>
      <c r="C7">
        <v>947</v>
      </c>
      <c r="D7">
        <v>686</v>
      </c>
    </row>
  </sheetData>
  <mergeCells count="2">
    <mergeCell ref="Q2:S5"/>
    <mergeCell ref="G1:J1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7"/>
  <sheetViews>
    <sheetView workbookViewId="0">
      <selection activeCell="E16" sqref="E16"/>
    </sheetView>
  </sheetViews>
  <sheetFormatPr defaultRowHeight="15" x14ac:dyDescent="0.25"/>
  <cols>
    <col min="3" max="3" width="16.85546875" bestFit="1" customWidth="1"/>
    <col min="4" max="4" width="15.42578125" bestFit="1" customWidth="1"/>
  </cols>
  <sheetData>
    <row r="1" spans="1:18" ht="15.75" x14ac:dyDescent="0.25">
      <c r="B1" t="s">
        <v>27</v>
      </c>
      <c r="C1" t="s">
        <v>28</v>
      </c>
      <c r="D1" t="s">
        <v>29</v>
      </c>
      <c r="G1" s="21" t="s">
        <v>126</v>
      </c>
      <c r="H1" s="21"/>
      <c r="I1" s="21"/>
      <c r="J1" s="21"/>
    </row>
    <row r="2" spans="1:18" x14ac:dyDescent="0.25">
      <c r="A2">
        <v>2018</v>
      </c>
      <c r="B2">
        <v>204</v>
      </c>
      <c r="C2">
        <v>204</v>
      </c>
      <c r="D2">
        <v>204</v>
      </c>
      <c r="E2" s="2"/>
      <c r="J2" s="2"/>
      <c r="P2" s="20" t="s">
        <v>30</v>
      </c>
      <c r="Q2" s="20"/>
      <c r="R2" s="20"/>
    </row>
    <row r="3" spans="1:18" x14ac:dyDescent="0.25">
      <c r="A3">
        <v>2019</v>
      </c>
      <c r="B3">
        <v>197</v>
      </c>
      <c r="C3">
        <v>65</v>
      </c>
      <c r="D3">
        <v>24</v>
      </c>
      <c r="E3" s="2"/>
      <c r="G3" s="3"/>
      <c r="J3" s="2"/>
      <c r="L3" s="3"/>
      <c r="P3" s="20"/>
      <c r="Q3" s="20"/>
      <c r="R3" s="20"/>
    </row>
    <row r="4" spans="1:18" x14ac:dyDescent="0.25">
      <c r="A4">
        <v>2020</v>
      </c>
      <c r="B4">
        <v>144</v>
      </c>
      <c r="C4">
        <v>59</v>
      </c>
      <c r="D4">
        <v>27</v>
      </c>
      <c r="E4" s="2"/>
      <c r="J4" s="2"/>
      <c r="P4" s="20"/>
      <c r="Q4" s="20"/>
      <c r="R4" s="20"/>
    </row>
    <row r="5" spans="1:18" x14ac:dyDescent="0.25">
      <c r="A5">
        <v>2021</v>
      </c>
      <c r="B5">
        <v>124</v>
      </c>
      <c r="C5">
        <v>42</v>
      </c>
      <c r="D5">
        <v>21</v>
      </c>
      <c r="F5" s="3">
        <f>(B7/B6)-1</f>
        <v>0.30061349693251538</v>
      </c>
      <c r="G5" s="3">
        <f>(C7/C6)-1</f>
        <v>0.62162162162162171</v>
      </c>
      <c r="H5" s="3">
        <f>(D7/D6)-1</f>
        <v>0.55000000000000004</v>
      </c>
      <c r="P5" s="20"/>
      <c r="Q5" s="20"/>
      <c r="R5" s="20"/>
    </row>
    <row r="6" spans="1:18" x14ac:dyDescent="0.25">
      <c r="A6">
        <v>2022</v>
      </c>
      <c r="B6">
        <v>163</v>
      </c>
      <c r="C6">
        <v>37</v>
      </c>
      <c r="D6">
        <v>20</v>
      </c>
    </row>
    <row r="7" spans="1:18" x14ac:dyDescent="0.25">
      <c r="A7">
        <v>2023</v>
      </c>
      <c r="B7">
        <v>212</v>
      </c>
      <c r="C7">
        <v>60</v>
      </c>
      <c r="D7">
        <v>31</v>
      </c>
    </row>
  </sheetData>
  <mergeCells count="2">
    <mergeCell ref="P2:R5"/>
    <mergeCell ref="G1:J1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7"/>
  <sheetViews>
    <sheetView workbookViewId="0">
      <selection activeCell="N4" sqref="N4"/>
    </sheetView>
  </sheetViews>
  <sheetFormatPr defaultRowHeight="15" x14ac:dyDescent="0.25"/>
  <cols>
    <col min="2" max="2" width="5.85546875" bestFit="1" customWidth="1"/>
    <col min="3" max="3" width="16.85546875" bestFit="1" customWidth="1"/>
    <col min="4" max="4" width="15.42578125" bestFit="1" customWidth="1"/>
  </cols>
  <sheetData>
    <row r="1" spans="1:18" ht="15.75" x14ac:dyDescent="0.25">
      <c r="B1" t="s">
        <v>27</v>
      </c>
      <c r="C1" t="s">
        <v>28</v>
      </c>
      <c r="D1" t="s">
        <v>29</v>
      </c>
      <c r="G1" s="21" t="s">
        <v>126</v>
      </c>
      <c r="H1" s="21"/>
      <c r="I1" s="21"/>
      <c r="J1" s="21"/>
    </row>
    <row r="2" spans="1:18" x14ac:dyDescent="0.25">
      <c r="A2">
        <v>2018</v>
      </c>
      <c r="B2">
        <v>48</v>
      </c>
      <c r="C2">
        <v>48</v>
      </c>
      <c r="D2">
        <v>48</v>
      </c>
      <c r="E2" s="2"/>
      <c r="J2" s="2"/>
      <c r="P2" s="20" t="s">
        <v>30</v>
      </c>
      <c r="Q2" s="20"/>
      <c r="R2" s="20"/>
    </row>
    <row r="3" spans="1:18" x14ac:dyDescent="0.25">
      <c r="A3">
        <v>2019</v>
      </c>
      <c r="B3">
        <v>52</v>
      </c>
      <c r="C3">
        <v>18</v>
      </c>
      <c r="D3">
        <v>12</v>
      </c>
      <c r="E3" s="2"/>
      <c r="G3" s="3"/>
      <c r="J3" s="2"/>
      <c r="L3" s="3"/>
      <c r="P3" s="20"/>
      <c r="Q3" s="20"/>
      <c r="R3" s="20"/>
    </row>
    <row r="4" spans="1:18" x14ac:dyDescent="0.25">
      <c r="A4">
        <v>2020</v>
      </c>
      <c r="B4">
        <v>56</v>
      </c>
      <c r="C4">
        <v>6</v>
      </c>
      <c r="D4">
        <v>1</v>
      </c>
      <c r="E4" s="2"/>
      <c r="J4" s="2"/>
      <c r="P4" s="20"/>
      <c r="Q4" s="20"/>
      <c r="R4" s="20"/>
    </row>
    <row r="5" spans="1:18" x14ac:dyDescent="0.25">
      <c r="A5">
        <v>2021</v>
      </c>
      <c r="B5">
        <v>43</v>
      </c>
      <c r="C5">
        <v>4</v>
      </c>
      <c r="D5">
        <v>1</v>
      </c>
      <c r="F5" s="3">
        <f>(B7/B6)-1</f>
        <v>0.54455445544554459</v>
      </c>
      <c r="G5" s="3">
        <f>(C7/C6)-1</f>
        <v>2.4285714285714284</v>
      </c>
      <c r="H5" s="3">
        <f>(D7/D6)-1</f>
        <v>3.384615384615385</v>
      </c>
      <c r="P5" s="20"/>
      <c r="Q5" s="20"/>
      <c r="R5" s="20"/>
    </row>
    <row r="6" spans="1:18" x14ac:dyDescent="0.25">
      <c r="A6">
        <v>2022</v>
      </c>
      <c r="B6">
        <v>101</v>
      </c>
      <c r="C6">
        <v>21</v>
      </c>
      <c r="D6">
        <v>13</v>
      </c>
    </row>
    <row r="7" spans="1:18" x14ac:dyDescent="0.25">
      <c r="A7">
        <v>2023</v>
      </c>
      <c r="B7">
        <v>156</v>
      </c>
      <c r="C7">
        <v>72</v>
      </c>
      <c r="D7">
        <v>57</v>
      </c>
    </row>
  </sheetData>
  <mergeCells count="2">
    <mergeCell ref="P2:R5"/>
    <mergeCell ref="G1:J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Características vitima - 2018</vt:lpstr>
      <vt:lpstr>Características vitima - 2019</vt:lpstr>
      <vt:lpstr>Características vitima - 2020</vt:lpstr>
      <vt:lpstr>Perfil vitima Atlas 2025</vt:lpstr>
      <vt:lpstr>Homo + bi vitimas de viol</vt:lpstr>
      <vt:lpstr>Orientação - faixa etária</vt:lpstr>
      <vt:lpstr>Identidade - faixa etária</vt:lpstr>
      <vt:lpstr>Orientação-cor</vt:lpstr>
      <vt:lpstr>identidade-cor</vt:lpstr>
      <vt:lpstr>Gráfico 7.4A trans</vt:lpstr>
      <vt:lpstr>Homossexuais</vt:lpstr>
      <vt:lpstr>Gráfico 23 - Bissexuais</vt:lpstr>
      <vt:lpstr>Gráfico 24 - V. Física</vt:lpstr>
      <vt:lpstr>Gráfico 24 - V. Psicológica</vt:lpstr>
      <vt:lpstr>Gráfico 24 - Tortura</vt:lpstr>
      <vt:lpstr>Gráfico 24 - Outros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de Oliveira Accioly Lins</cp:lastModifiedBy>
  <dcterms:created xsi:type="dcterms:W3CDTF">2021-03-31T21:44:03Z</dcterms:created>
  <dcterms:modified xsi:type="dcterms:W3CDTF">2025-02-03T22:19:37Z</dcterms:modified>
</cp:coreProperties>
</file>