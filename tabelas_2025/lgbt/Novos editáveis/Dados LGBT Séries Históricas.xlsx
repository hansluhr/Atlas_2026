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pacheco\Downloads\"/>
    </mc:Choice>
  </mc:AlternateContent>
  <bookViews>
    <workbookView xWindow="0" yWindow="0" windowWidth="19200" windowHeight="7640" firstSheet="1" activeTab="4"/>
  </bookViews>
  <sheets>
    <sheet name="Violência sexualidade" sheetId="1" r:id="rId1"/>
    <sheet name="Perfil etário sexualidade" sheetId="2" r:id="rId2"/>
    <sheet name="Violência gênero" sheetId="3" r:id="rId3"/>
    <sheet name="Perfil racial gênero" sheetId="4" r:id="rId4"/>
    <sheet name="Dados WVS" sheetId="5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H15" i="5" s="1"/>
  <c r="F15" i="5"/>
  <c r="H14" i="5"/>
  <c r="H13" i="5"/>
  <c r="H12" i="5"/>
  <c r="H11" i="5"/>
  <c r="H10" i="5"/>
  <c r="H9" i="5"/>
  <c r="H8" i="5"/>
  <c r="H7" i="5"/>
  <c r="H6" i="5"/>
  <c r="H5" i="5"/>
  <c r="B31" i="3" l="1"/>
  <c r="B21" i="3"/>
  <c r="B22" i="3"/>
  <c r="B23" i="3"/>
  <c r="B24" i="3"/>
  <c r="B25" i="3"/>
  <c r="B26" i="3"/>
  <c r="B27" i="3"/>
  <c r="B28" i="3"/>
  <c r="B29" i="3"/>
  <c r="B20" i="3"/>
  <c r="D15" i="3"/>
  <c r="C15" i="3"/>
  <c r="B15" i="3"/>
  <c r="B16" i="1"/>
  <c r="B15" i="1"/>
</calcChain>
</file>

<file path=xl/sharedStrings.xml><?xml version="1.0" encoding="utf-8"?>
<sst xmlns="http://schemas.openxmlformats.org/spreadsheetml/2006/main" count="63" uniqueCount="59">
  <si>
    <t>Número total de casos de violência contra homossexuais e bissexuais</t>
  </si>
  <si>
    <t>Homossexuais e Bissexuais</t>
  </si>
  <si>
    <t>Homossexuais</t>
  </si>
  <si>
    <t>Bissexuais</t>
  </si>
  <si>
    <t>Gráfico 7.2 Brasil: Percentual de vítimas de violência por orientação sexual e faixa etária (2023)</t>
  </si>
  <si>
    <t>Heterossexual</t>
  </si>
  <si>
    <t>Homossexual</t>
  </si>
  <si>
    <t xml:space="preserve">Bissexual 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</si>
  <si>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</si>
  <si>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</si>
  <si>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</si>
  <si>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</si>
  <si>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</si>
  <si>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</si>
  <si>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</si>
  <si>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</si>
  <si>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</si>
  <si>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</si>
  <si>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</si>
  <si>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</si>
  <si>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</si>
  <si>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</si>
  <si>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ou mais</t>
  </si>
  <si>
    <t>Gráfico 7.3 Brasil: Número de pessoas trans e travestis vítimas de violência por identidade de gênero (2022 e 2023)</t>
  </si>
  <si>
    <t>ano_not</t>
  </si>
  <si>
    <t>Transexual Homem</t>
  </si>
  <si>
    <t>Transexual Mulher</t>
  </si>
  <si>
    <t>Travesti</t>
  </si>
  <si>
    <t>Gráfico 7.4 Brasil: Percentual de pessoas trans e travestis vítimas de violência por raça/cor (2023)</t>
  </si>
  <si>
    <t>Trans Mulher</t>
  </si>
  <si>
    <t>Trans Homem</t>
  </si>
  <si>
    <t>Branco</t>
  </si>
  <si>
    <t>Negro</t>
  </si>
  <si>
    <t>Amarelo</t>
  </si>
  <si>
    <t>Indígena</t>
  </si>
  <si>
    <t>Ignorado</t>
  </si>
  <si>
    <t>TOTAL</t>
  </si>
  <si>
    <t>Transexual homem, mulher e travesti</t>
  </si>
  <si>
    <t>World Values Survey Wave 7: 2017-2022</t>
  </si>
  <si>
    <t>Justifiable: Homosexuality</t>
  </si>
  <si>
    <t>Resposta</t>
  </si>
  <si>
    <t>Porcentagem</t>
  </si>
  <si>
    <t>Base=1762; Weighted results</t>
  </si>
  <si>
    <t>Number of cases</t>
  </si>
  <si>
    <t>%/Total</t>
  </si>
  <si>
    <t>Quantidade de casos</t>
  </si>
  <si>
    <t>Total em porcentagem</t>
  </si>
  <si>
    <t>Nunca se justifica</t>
  </si>
  <si>
    <t>Never justifiable</t>
  </si>
  <si>
    <t>Sempre se justifica</t>
  </si>
  <si>
    <t>Always justifiable</t>
  </si>
  <si>
    <t>Não sabe/Não respondeu</t>
  </si>
  <si>
    <t>Don't know</t>
  </si>
  <si>
    <t>No answer</t>
  </si>
  <si>
    <t>Base mean</t>
  </si>
  <si>
    <t>Mean</t>
  </si>
  <si>
    <t>Std Dev.</t>
  </si>
  <si>
    <t>(N)</t>
  </si>
  <si>
    <t>Justificabilidade da homosexualidade, em 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</si>
</sst>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2" fontId="0" fillId="0" borderId="0" xfId="0" applyNumberFormat="1"/>
    <xf numFmtId="9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'Violência sexualidade'!$A$3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sexualidade'!$B$3:$D$3</c:f>
              <c:numCache>
                <c:formatCode>General</c:formatCode>
                <c:ptCount val="3"/>
                <c:pt idx="0">
                  <c:v>761</c:v>
                </c:pt>
                <c:pt idx="1">
                  <c:v>672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E-414C-ADA7-FA6B0D2E4811}"/>
            </c:ext>
          </c:extLst>
        </c:ser>
        <c:ser>
          <c:idx val="1"/>
          <c:order val="1"/>
          <c:tx>
            <c:strRef>
              <c:f>'Violência sexualidade'!$A$4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sexualidade'!$B$4:$D$4</c:f>
              <c:numCache>
                <c:formatCode>General</c:formatCode>
                <c:ptCount val="3"/>
                <c:pt idx="0">
                  <c:v>3278</c:v>
                </c:pt>
                <c:pt idx="1">
                  <c:v>2952</c:v>
                </c:pt>
                <c:pt idx="2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E-414C-ADA7-FA6B0D2E4811}"/>
            </c:ext>
          </c:extLst>
        </c:ser>
        <c:ser>
          <c:idx val="2"/>
          <c:order val="2"/>
          <c:tx>
            <c:strRef>
              <c:f>'Violência sexualidade'!$A$5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sexualidade'!$B$5:$D$5</c:f>
              <c:numCache>
                <c:formatCode>General</c:formatCode>
                <c:ptCount val="3"/>
                <c:pt idx="0">
                  <c:v>3602</c:v>
                </c:pt>
                <c:pt idx="1">
                  <c:v>3213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AE-414C-ADA7-FA6B0D2E4811}"/>
            </c:ext>
          </c:extLst>
        </c:ser>
        <c:ser>
          <c:idx val="3"/>
          <c:order val="3"/>
          <c:tx>
            <c:strRef>
              <c:f>'Violência sexualidade'!$A$6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sexualidade'!$B$6:$D$6</c:f>
              <c:numCache>
                <c:formatCode>General</c:formatCode>
                <c:ptCount val="3"/>
                <c:pt idx="0">
                  <c:v>4369</c:v>
                </c:pt>
                <c:pt idx="1">
                  <c:v>3799</c:v>
                </c:pt>
                <c:pt idx="2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AE-414C-ADA7-FA6B0D2E4811}"/>
            </c:ext>
          </c:extLst>
        </c:ser>
        <c:ser>
          <c:idx val="4"/>
          <c:order val="4"/>
          <c:tx>
            <c:strRef>
              <c:f>'Violência sexualidade'!$A$7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sexualidade'!$B$7:$D$7</c:f>
              <c:numCache>
                <c:formatCode>General</c:formatCode>
                <c:ptCount val="3"/>
                <c:pt idx="0">
                  <c:v>5057</c:v>
                </c:pt>
                <c:pt idx="1">
                  <c:v>4313</c:v>
                </c:pt>
                <c:pt idx="2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AE-414C-ADA7-FA6B0D2E4811}"/>
            </c:ext>
          </c:extLst>
        </c:ser>
        <c:ser>
          <c:idx val="5"/>
          <c:order val="5"/>
          <c:tx>
            <c:strRef>
              <c:f>'Violência sexualidade'!$A$8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sexualidade'!$B$8:$D$8</c:f>
              <c:numCache>
                <c:formatCode>General</c:formatCode>
                <c:ptCount val="3"/>
                <c:pt idx="0">
                  <c:v>5548</c:v>
                </c:pt>
                <c:pt idx="1">
                  <c:v>4518</c:v>
                </c:pt>
                <c:pt idx="2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AE-414C-ADA7-FA6B0D2E4811}"/>
            </c:ext>
          </c:extLst>
        </c:ser>
        <c:ser>
          <c:idx val="6"/>
          <c:order val="6"/>
          <c:tx>
            <c:strRef>
              <c:f>'Violência sexualidade'!$A$9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sexualidade'!$B$9:$D$9</c:f>
              <c:numCache>
                <c:formatCode>General</c:formatCode>
                <c:ptCount val="3"/>
                <c:pt idx="0">
                  <c:v>4933</c:v>
                </c:pt>
                <c:pt idx="1">
                  <c:v>3961</c:v>
                </c:pt>
                <c:pt idx="2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AE-414C-ADA7-FA6B0D2E4811}"/>
            </c:ext>
          </c:extLst>
        </c:ser>
        <c:ser>
          <c:idx val="7"/>
          <c:order val="7"/>
          <c:tx>
            <c:strRef>
              <c:f>'Violência sexualidade'!$A$10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sexualidade'!$B$10:$D$10</c:f>
              <c:numCache>
                <c:formatCode>General</c:formatCode>
                <c:ptCount val="3"/>
                <c:pt idx="0">
                  <c:v>5759</c:v>
                </c:pt>
                <c:pt idx="1">
                  <c:v>4372</c:v>
                </c:pt>
                <c:pt idx="2">
                  <c:v>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AE-414C-ADA7-FA6B0D2E4811}"/>
            </c:ext>
          </c:extLst>
        </c:ser>
        <c:ser>
          <c:idx val="8"/>
          <c:order val="8"/>
          <c:tx>
            <c:strRef>
              <c:f>'Violência sexualidade'!$A$11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sexualidade'!$B$11:$D$11</c:f>
              <c:numCache>
                <c:formatCode>General</c:formatCode>
                <c:ptCount val="3"/>
                <c:pt idx="0">
                  <c:v>7276</c:v>
                </c:pt>
                <c:pt idx="1">
                  <c:v>5299</c:v>
                </c:pt>
                <c:pt idx="2">
                  <c:v>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AE-414C-ADA7-FA6B0D2E4811}"/>
            </c:ext>
          </c:extLst>
        </c:ser>
        <c:ser>
          <c:idx val="9"/>
          <c:order val="9"/>
          <c:tx>
            <c:strRef>
              <c:f>'Violência sexualidade'!$A$12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sexualidade'!$B$2:$D$2</c:f>
              <c:strCache>
                <c:ptCount val="3"/>
                <c:pt idx="0">
                  <c:v>Homossexuais e Bissexuais</c:v>
                </c:pt>
                <c:pt idx="1">
                  <c:v>Homossexuais</c:v>
                </c:pt>
                <c:pt idx="2">
                  <c:v>Bissexuais</c:v>
                </c:pt>
              </c:strCache>
            </c:strRef>
          </c:cat>
          <c:val>
            <c:numRef>
              <c:f>'Violência sexualidade'!$B$12:$D$12</c:f>
              <c:numCache>
                <c:formatCode>General</c:formatCode>
                <c:ptCount val="3"/>
                <c:pt idx="0">
                  <c:v>9845</c:v>
                </c:pt>
                <c:pt idx="1">
                  <c:v>7115</c:v>
                </c:pt>
                <c:pt idx="2">
                  <c:v>2730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AE-414C-ADA7-FA6B0D2E4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1132735"/>
        <c:axId val="511144735"/>
      </c:barChart>
      <c:catAx>
        <c:axId val="51113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144735"/>
        <c:crosses val="autoZero"/>
        <c:auto val="1"/>
        <c:lblAlgn val="ctr"/>
        <c:lblOffset val="100"/>
        <c:noMultiLvlLbl val="0"/>
      </c:catAx>
      <c:valAx>
        <c:axId val="5111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13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7.2 Brasil: Percentual de vítimas de violência por orientação sexual e faixa etária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'Perfil etário sexualidade'!$B$2</c:f>
              <c:strCache>
                <c:ptCount val="1"/>
                <c:pt idx="0">
                  <c:v>Heterossexual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'Perfil etário sexualidade'!$A$3:$A$17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'Perfil etário sexualidade'!$B$3:$B$17</c:f>
              <c:numCache>
                <c:formatCode>General</c:formatCode>
                <c:ptCount val="15"/>
                <c:pt idx="0">
                  <c:v>9.1999999999999993</c:v>
                </c:pt>
                <c:pt idx="1">
                  <c:v>10.6</c:v>
                </c:pt>
                <c:pt idx="2">
                  <c:v>12.1</c:v>
                </c:pt>
                <c:pt idx="3">
                  <c:v>12.9</c:v>
                </c:pt>
                <c:pt idx="4">
                  <c:v>11.6</c:v>
                </c:pt>
                <c:pt idx="5">
                  <c:v>10.8</c:v>
                </c:pt>
                <c:pt idx="6">
                  <c:v>9.4</c:v>
                </c:pt>
                <c:pt idx="7">
                  <c:v>6.6</c:v>
                </c:pt>
                <c:pt idx="8">
                  <c:v>4.3</c:v>
                </c:pt>
                <c:pt idx="9">
                  <c:v>3</c:v>
                </c:pt>
                <c:pt idx="10">
                  <c:v>2.8</c:v>
                </c:pt>
                <c:pt idx="11">
                  <c:v>2.1</c:v>
                </c:pt>
                <c:pt idx="12">
                  <c:v>1.7</c:v>
                </c:pt>
                <c:pt idx="13">
                  <c:v>1.3</c:v>
                </c:pt>
                <c:pt idx="1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9-4F45-ABD3-7C6E6D06D200}"/>
            </c:ext>
          </c:extLst>
        </c:ser>
        <c:ser>
          <c:idx val="1"/>
          <c:order val="1"/>
          <c:tx>
            <c:strRef>
              <c:f>'Perfil etário sexualidade'!$C$2</c:f>
              <c:strCache>
                <c:ptCount val="1"/>
                <c:pt idx="0">
                  <c:v>Homossexual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'Perfil etário sexualidade'!$A$3:$A$17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'Perfil etário sexualidade'!$C$3:$C$17</c:f>
              <c:numCache>
                <c:formatCode>General</c:formatCode>
                <c:ptCount val="15"/>
                <c:pt idx="0">
                  <c:v>5.8</c:v>
                </c:pt>
                <c:pt idx="1">
                  <c:v>13</c:v>
                </c:pt>
                <c:pt idx="2">
                  <c:v>18.3</c:v>
                </c:pt>
                <c:pt idx="3">
                  <c:v>19.100000000000001</c:v>
                </c:pt>
                <c:pt idx="4">
                  <c:v>14.1</c:v>
                </c:pt>
                <c:pt idx="5">
                  <c:v>9.9</c:v>
                </c:pt>
                <c:pt idx="6">
                  <c:v>6.7</c:v>
                </c:pt>
                <c:pt idx="7">
                  <c:v>4.7</c:v>
                </c:pt>
                <c:pt idx="8">
                  <c:v>2.9</c:v>
                </c:pt>
                <c:pt idx="9">
                  <c:v>2</c:v>
                </c:pt>
                <c:pt idx="10">
                  <c:v>1.1000000000000001</c:v>
                </c:pt>
                <c:pt idx="11">
                  <c:v>0.9</c:v>
                </c:pt>
                <c:pt idx="12">
                  <c:v>0.8</c:v>
                </c:pt>
                <c:pt idx="13">
                  <c:v>0.3</c:v>
                </c:pt>
                <c:pt idx="1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9-4F45-ABD3-7C6E6D06D200}"/>
            </c:ext>
          </c:extLst>
        </c:ser>
        <c:ser>
          <c:idx val="2"/>
          <c:order val="2"/>
          <c:tx>
            <c:strRef>
              <c:f>'Perfil etário sexualidade'!$D$2</c:f>
              <c:strCache>
                <c:ptCount val="1"/>
                <c:pt idx="0">
                  <c:v>Bissexual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'Perfil etário sexualidade'!$A$3:$A$17</c:f>
              <c:strCache>
                <c:ptCount val="15"/>
                <c:pt idx="0">
                  <c:v>10 a 14</c:v>
                </c:pt>
                <c:pt idx="1">
                  <c:v>15 a 19</c:v>
                </c:pt>
                <c:pt idx="2">
                  <c:v>20 a 24</c:v>
                </c:pt>
                <c:pt idx="3">
                  <c:v>25 a 29</c:v>
                </c:pt>
                <c:pt idx="4">
                  <c:v>30 a 34</c:v>
                </c:pt>
                <c:pt idx="5">
                  <c:v>35 a 39</c:v>
                </c:pt>
                <c:pt idx="6">
                  <c:v>40 a 44</c:v>
                </c:pt>
                <c:pt idx="7">
                  <c:v>45 a 49</c:v>
                </c:pt>
                <c:pt idx="8">
                  <c:v>50 a 54</c:v>
                </c:pt>
                <c:pt idx="9">
                  <c:v>55 a 59</c:v>
                </c:pt>
                <c:pt idx="10">
                  <c:v>60 a 64</c:v>
                </c:pt>
                <c:pt idx="11">
                  <c:v>65 a 69</c:v>
                </c:pt>
                <c:pt idx="12">
                  <c:v>70 a 74</c:v>
                </c:pt>
                <c:pt idx="13">
                  <c:v>75 a 79</c:v>
                </c:pt>
                <c:pt idx="14">
                  <c:v>80 ou mais</c:v>
                </c:pt>
              </c:strCache>
            </c:strRef>
          </c:cat>
          <c:val>
            <c:numRef>
              <c:f>'Perfil etário sexualidade'!$D$3:$D$17</c:f>
              <c:numCache>
                <c:formatCode>General</c:formatCode>
                <c:ptCount val="15"/>
                <c:pt idx="0">
                  <c:v>12.1</c:v>
                </c:pt>
                <c:pt idx="1">
                  <c:v>24.9</c:v>
                </c:pt>
                <c:pt idx="2">
                  <c:v>24</c:v>
                </c:pt>
                <c:pt idx="3">
                  <c:v>15.1</c:v>
                </c:pt>
                <c:pt idx="4">
                  <c:v>10.4</c:v>
                </c:pt>
                <c:pt idx="5">
                  <c:v>5.8</c:v>
                </c:pt>
                <c:pt idx="6">
                  <c:v>3.4</c:v>
                </c:pt>
                <c:pt idx="7">
                  <c:v>1.8</c:v>
                </c:pt>
                <c:pt idx="8">
                  <c:v>1.1000000000000001</c:v>
                </c:pt>
                <c:pt idx="9">
                  <c:v>0.5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29-4F45-ABD3-7C6E6D06D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50079"/>
        <c:axId val="613756319"/>
      </c:lineChart>
      <c:catAx>
        <c:axId val="6137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756319"/>
        <c:crosses val="autoZero"/>
        <c:auto val="1"/>
        <c:lblAlgn val="ctr"/>
        <c:lblOffset val="100"/>
        <c:noMultiLvlLbl val="0"/>
      </c:catAx>
      <c:valAx>
        <c:axId val="6137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37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7.3 Brasil: Número de pessoas trans e travestis vítimas de violência por identidade de gênero (2022 e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'Violência gênero'!$A$4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gênero'!$B$4:$D$4</c:f>
              <c:numCache>
                <c:formatCode>General</c:formatCode>
                <c:ptCount val="3"/>
                <c:pt idx="0">
                  <c:v>78</c:v>
                </c:pt>
                <c:pt idx="1">
                  <c:v>291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C-4C7C-87A8-A7E4E28B089F}"/>
            </c:ext>
          </c:extLst>
        </c:ser>
        <c:ser>
          <c:idx val="1"/>
          <c:order val="1"/>
          <c:tx>
            <c:strRef>
              <c:f>'Violência gênero'!$A$5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gênero'!$B$5:$D$5</c:f>
              <c:numCache>
                <c:formatCode>General</c:formatCode>
                <c:ptCount val="3"/>
                <c:pt idx="0">
                  <c:v>468</c:v>
                </c:pt>
                <c:pt idx="1">
                  <c:v>1777</c:v>
                </c:pt>
                <c:pt idx="2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C-4C7C-87A8-A7E4E28B089F}"/>
            </c:ext>
          </c:extLst>
        </c:ser>
        <c:ser>
          <c:idx val="2"/>
          <c:order val="2"/>
          <c:tx>
            <c:strRef>
              <c:f>'Violência gênero'!$A$6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gênero'!$B$6:$D$6</c:f>
              <c:numCache>
                <c:formatCode>General</c:formatCode>
                <c:ptCount val="3"/>
                <c:pt idx="0">
                  <c:v>650</c:v>
                </c:pt>
                <c:pt idx="1">
                  <c:v>2358</c:v>
                </c:pt>
                <c:pt idx="2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C-4C7C-87A8-A7E4E28B089F}"/>
            </c:ext>
          </c:extLst>
        </c:ser>
        <c:ser>
          <c:idx val="3"/>
          <c:order val="3"/>
          <c:tx>
            <c:strRef>
              <c:f>'Violência gênero'!$A$7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gênero'!$B$7:$D$7</c:f>
              <c:numCache>
                <c:formatCode>General</c:formatCode>
                <c:ptCount val="3"/>
                <c:pt idx="0">
                  <c:v>573</c:v>
                </c:pt>
                <c:pt idx="1">
                  <c:v>1971</c:v>
                </c:pt>
                <c:pt idx="2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C-4C7C-87A8-A7E4E28B089F}"/>
            </c:ext>
          </c:extLst>
        </c:ser>
        <c:ser>
          <c:idx val="4"/>
          <c:order val="4"/>
          <c:tx>
            <c:strRef>
              <c:f>'Violência gênero'!$A$8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gênero'!$B$8:$D$8</c:f>
              <c:numCache>
                <c:formatCode>General</c:formatCode>
                <c:ptCount val="3"/>
                <c:pt idx="0">
                  <c:v>539</c:v>
                </c:pt>
                <c:pt idx="1">
                  <c:v>2154</c:v>
                </c:pt>
                <c:pt idx="2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C-4C7C-87A8-A7E4E28B089F}"/>
            </c:ext>
          </c:extLst>
        </c:ser>
        <c:ser>
          <c:idx val="5"/>
          <c:order val="5"/>
          <c:tx>
            <c:strRef>
              <c:f>'Violência gênero'!$A$9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gênero'!$B$9:$D$9</c:f>
              <c:numCache>
                <c:formatCode>General</c:formatCode>
                <c:ptCount val="3"/>
                <c:pt idx="0">
                  <c:v>517</c:v>
                </c:pt>
                <c:pt idx="1">
                  <c:v>2079</c:v>
                </c:pt>
                <c:pt idx="2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0C-4C7C-87A8-A7E4E28B089F}"/>
            </c:ext>
          </c:extLst>
        </c:ser>
        <c:ser>
          <c:idx val="6"/>
          <c:order val="6"/>
          <c:tx>
            <c:strRef>
              <c:f>'Violência gênero'!$A$10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gênero'!$B$10:$D$10</c:f>
              <c:numCache>
                <c:formatCode>General</c:formatCode>
                <c:ptCount val="3"/>
                <c:pt idx="0">
                  <c:v>443</c:v>
                </c:pt>
                <c:pt idx="1">
                  <c:v>1859</c:v>
                </c:pt>
                <c:pt idx="2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0C-4C7C-87A8-A7E4E28B089F}"/>
            </c:ext>
          </c:extLst>
        </c:ser>
        <c:ser>
          <c:idx val="7"/>
          <c:order val="7"/>
          <c:tx>
            <c:strRef>
              <c:f>'Violência gênero'!$A$11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gênero'!$B$11:$D$11</c:f>
              <c:numCache>
                <c:formatCode>General</c:formatCode>
                <c:ptCount val="3"/>
                <c:pt idx="0">
                  <c:v>565</c:v>
                </c:pt>
                <c:pt idx="1">
                  <c:v>2120</c:v>
                </c:pt>
                <c:pt idx="2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0C-4C7C-87A8-A7E4E28B089F}"/>
            </c:ext>
          </c:extLst>
        </c:ser>
        <c:ser>
          <c:idx val="8"/>
          <c:order val="8"/>
          <c:tx>
            <c:strRef>
              <c:f>'Violência gênero'!$A$12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gênero'!$B$12:$D$12</c:f>
              <c:numCache>
                <c:formatCode>General</c:formatCode>
                <c:ptCount val="3"/>
                <c:pt idx="0">
                  <c:v>753</c:v>
                </c:pt>
                <c:pt idx="1">
                  <c:v>2540</c:v>
                </c:pt>
                <c:pt idx="2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0C-4C7C-87A8-A7E4E28B089F}"/>
            </c:ext>
          </c:extLst>
        </c:ser>
        <c:ser>
          <c:idx val="9"/>
          <c:order val="9"/>
          <c:tx>
            <c:strRef>
              <c:f>'Violência gênero'!$A$13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'Violência gênero'!$B$3:$D$3</c:f>
              <c:strCache>
                <c:ptCount val="3"/>
                <c:pt idx="0">
                  <c:v>Transexual Homem</c:v>
                </c:pt>
                <c:pt idx="1">
                  <c:v>Transexual Mulher</c:v>
                </c:pt>
                <c:pt idx="2">
                  <c:v>Travesti</c:v>
                </c:pt>
              </c:strCache>
            </c:strRef>
          </c:cat>
          <c:val>
            <c:numRef>
              <c:f>'Violência gênero'!$B$13:$D$13</c:f>
              <c:numCache>
                <c:formatCode>General</c:formatCode>
                <c:ptCount val="3"/>
                <c:pt idx="0">
                  <c:v>1332</c:v>
                </c:pt>
                <c:pt idx="1">
                  <c:v>3524</c:v>
                </c:pt>
                <c:pt idx="2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0C-4C7C-87A8-A7E4E28B0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7060239"/>
        <c:axId val="617061679"/>
      </c:barChart>
      <c:catAx>
        <c:axId val="6170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061679"/>
        <c:crosses val="autoZero"/>
        <c:auto val="1"/>
        <c:lblAlgn val="ctr"/>
        <c:lblOffset val="100"/>
        <c:noMultiLvlLbl val="0"/>
      </c:catAx>
      <c:valAx>
        <c:axId val="6170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Gráfico 7.4 Brasil: Percentual de pessoas trans e travestis vítimas de violência por raça/cor (2023)</a:t>
            </a:r>
            <a:r>
              <a:rPr lang="pt-BR" sz="1400" b="0" i="0" u="none" strike="noStrike" baseline="0"/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'Perfil racial gênero'!$A$3</c:f>
              <c:strCache>
                <c:ptCount val="1"/>
                <c:pt idx="0">
                  <c:v>Branco</c:v>
                </c:pt>
              </c:strCache>
            </c:strRef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'Perfil racial gênero'!$B$2:$D$2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'Perfil racial gênero'!$B$3:$D$3</c:f>
              <c:numCache>
                <c:formatCode>0.00%</c:formatCode>
                <c:ptCount val="3"/>
                <c:pt idx="0">
                  <c:v>0.30199999999999999</c:v>
                </c:pt>
                <c:pt idx="1">
                  <c:v>0.32799999999999996</c:v>
                </c:pt>
                <c:pt idx="2">
                  <c:v>0.48100000000000004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A-48F2-A9D4-C4CCE7F3C89F}"/>
            </c:ext>
          </c:extLst>
        </c:ser>
        <c:ser>
          <c:idx val="1"/>
          <c:order val="1"/>
          <c:tx>
            <c:strRef>
              <c:f>'Perfil racial gênero'!$A$4</c:f>
              <c:strCache>
                <c:ptCount val="1"/>
                <c:pt idx="0">
                  <c:v>Negro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'Perfil racial gênero'!$B$2:$D$2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'Perfil racial gênero'!$B$4:$D$4</c:f>
              <c:numCache>
                <c:formatCode>0.00%</c:formatCode>
                <c:ptCount val="3"/>
                <c:pt idx="0">
                  <c:v>0.64899999999999991</c:v>
                </c:pt>
                <c:pt idx="1">
                  <c:v>0.61899999999999999</c:v>
                </c:pt>
                <c:pt idx="2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A-48F2-A9D4-C4CCE7F3C89F}"/>
            </c:ext>
          </c:extLst>
        </c:ser>
        <c:ser>
          <c:idx val="2"/>
          <c:order val="2"/>
          <c:tx>
            <c:strRef>
              <c:f>'Perfil racial gênero'!$A$5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'Perfil racial gênero'!$B$2:$D$2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'Perfil racial gênero'!$B$5:$D$5</c:f>
              <c:numCache>
                <c:formatCode>0.00%</c:formatCode>
                <c:ptCount val="3"/>
                <c:pt idx="0">
                  <c:v>8.0000000000000002E-3</c:v>
                </c:pt>
                <c:pt idx="1">
                  <c:v>0.01</c:v>
                </c:pt>
                <c:pt idx="2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A-48F2-A9D4-C4CCE7F3C89F}"/>
            </c:ext>
          </c:extLst>
        </c:ser>
        <c:ser>
          <c:idx val="3"/>
          <c:order val="3"/>
          <c:tx>
            <c:strRef>
              <c:f>'Perfil racial gênero'!$A$6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'Perfil racial gênero'!$B$2:$D$2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'Perfil racial gênero'!$B$6:$D$6</c:f>
              <c:numCache>
                <c:formatCode>0.00%</c:formatCode>
                <c:ptCount val="3"/>
                <c:pt idx="0">
                  <c:v>1.8000000000000002E-2</c:v>
                </c:pt>
                <c:pt idx="1">
                  <c:v>1.6E-2</c:v>
                </c:pt>
                <c:pt idx="2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A-48F2-A9D4-C4CCE7F3C89F}"/>
            </c:ext>
          </c:extLst>
        </c:ser>
        <c:ser>
          <c:idx val="4"/>
          <c:order val="4"/>
          <c:tx>
            <c:strRef>
              <c:f>'Perfil racial gênero'!$A$7</c:f>
              <c:strCache>
                <c:ptCount val="1"/>
                <c:pt idx="0">
                  <c:v>Ignorado</c:v>
                </c:pt>
              </c:strCache>
            </c:strRef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'Perfil racial gênero'!$B$2:$D$2</c:f>
              <c:strCache>
                <c:ptCount val="3"/>
                <c:pt idx="0">
                  <c:v>Travesti</c:v>
                </c:pt>
                <c:pt idx="1">
                  <c:v>Trans Mulher</c:v>
                </c:pt>
                <c:pt idx="2">
                  <c:v>Trans Homem</c:v>
                </c:pt>
              </c:strCache>
            </c:strRef>
          </c:cat>
          <c:val>
            <c:numRef>
              <c:f>'Perfil racial gênero'!$B$7:$D$7</c:f>
              <c:numCache>
                <c:formatCode>0.00%</c:formatCode>
                <c:ptCount val="3"/>
                <c:pt idx="0">
                  <c:v>2.3E-2</c:v>
                </c:pt>
                <c:pt idx="1">
                  <c:v>2.7000000000000003E-2</c:v>
                </c:pt>
                <c:pt idx="2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A-48F2-A9D4-C4CCE7F3C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4038431"/>
        <c:axId val="514038911"/>
      </c:barChart>
      <c:catAx>
        <c:axId val="5140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038911"/>
        <c:crosses val="autoZero"/>
        <c:auto val="1"/>
        <c:lblAlgn val="ctr"/>
        <c:lblOffset val="100"/>
        <c:noMultiLvlLbl val="0"/>
      </c:catAx>
      <c:valAx>
        <c:axId val="5140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0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'Dados WVS'!$K$3</c:f>
              <c:strCache>
                <c:ptCount val="1"/>
                <c:pt idx="0">
                  <c:v>Porcentagem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WVS'!$J$4:$J$14</c:f>
              <c:strCache>
                <c:ptCount val="11"/>
                <c:pt idx="0">
                  <c:v>Nunca se justifica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Sempre se justifica</c:v>
                </c:pt>
                <c:pt idx="10">
                  <c:v>Não sabe/Não respondeu</c:v>
                </c:pt>
              </c:strCache>
            </c:strRef>
          </c:cat>
          <c:val>
            <c:numRef>
              <c:f>'Dados WVS'!$K$4:$K$14</c:f>
              <c:numCache>
                <c:formatCode>0.0%</c:formatCode>
                <c:ptCount val="11"/>
                <c:pt idx="0">
                  <c:v>0.29199999999999998</c:v>
                </c:pt>
                <c:pt idx="1">
                  <c:v>1.6E-2</c:v>
                </c:pt>
                <c:pt idx="2">
                  <c:v>2.3E-2</c:v>
                </c:pt>
                <c:pt idx="3">
                  <c:v>2.7000000000000003E-2</c:v>
                </c:pt>
                <c:pt idx="4">
                  <c:v>0.16399999999999998</c:v>
                </c:pt>
                <c:pt idx="5">
                  <c:v>4.5999999999999999E-2</c:v>
                </c:pt>
                <c:pt idx="6">
                  <c:v>3.5000000000000003E-2</c:v>
                </c:pt>
                <c:pt idx="7">
                  <c:v>4.2999999999999997E-2</c:v>
                </c:pt>
                <c:pt idx="8">
                  <c:v>2.1000000000000001E-2</c:v>
                </c:pt>
                <c:pt idx="9">
                  <c:v>0.187</c:v>
                </c:pt>
                <c:pt idx="10">
                  <c:v>0.14599999999999999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0-4FBD-AF59-9B0BBEB12C8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833519"/>
        <c:axId val="974836847"/>
      </c:barChart>
      <c:catAx>
        <c:axId val="97483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836847"/>
        <c:crosses val="autoZero"/>
        <c:auto val="1"/>
        <c:lblAlgn val="ctr"/>
        <c:lblOffset val="100"/>
        <c:noMultiLvlLbl val="0"/>
      </c:catAx>
      <c:valAx>
        <c:axId val="97483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83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158749</xdr:colOff>
      <xdr:row>4</xdr:row>
      <xdr:rowOff>88899</xdr:rowOff>
    </xdr:from>
    <xdr:to>
      <xdr:col>17</xdr:col>
      <xdr:colOff>479424</xdr:colOff>
      <xdr:row>23</xdr:row>
      <xdr:rowOff>126999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FA5C9920-2D14-E466-49F4-E6FBEDE20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390524</xdr:colOff>
      <xdr:row>1</xdr:row>
      <xdr:rowOff>73024</xdr:rowOff>
    </xdr:from>
    <xdr:to>
      <xdr:col>16</xdr:col>
      <xdr:colOff>558799</xdr:colOff>
      <xdr:row>19</xdr:row>
      <xdr:rowOff>139699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1C4E3B-CDFC-8528-FDB4-27C080C3D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441324</xdr:colOff>
      <xdr:row>1</xdr:row>
      <xdr:rowOff>47624</xdr:rowOff>
    </xdr:from>
    <xdr:to>
      <xdr:col>15</xdr:col>
      <xdr:colOff>539749</xdr:colOff>
      <xdr:row>18</xdr:row>
      <xdr:rowOff>120649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F8C25-E0C9-2BCC-BF3B-D20EEAF84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1</xdr:row>
      <xdr:rowOff>98425</xdr:rowOff>
    </xdr:from>
    <xdr:to>
      <xdr:col>16</xdr:col>
      <xdr:colOff>546099</xdr:colOff>
      <xdr:row>16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77BF97-9B66-B5B7-16C5-11E6586D8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597766</xdr:colOff>
      <xdr:row>17</xdr:row>
      <xdr:rowOff>83127</xdr:rowOff>
    </xdr:from>
    <xdr:to>
      <xdr:col>13</xdr:col>
      <xdr:colOff>337993</xdr:colOff>
      <xdr:row>32</xdr:row>
      <xdr:rowOff>64077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dos_LGB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 7.1"/>
      <sheetName val="Gr 7.2"/>
      <sheetName val="Gr 7.3"/>
      <sheetName val="Gr 7.4"/>
      <sheetName val="WVS - Justificável"/>
    </sheetNames>
    <sheetDataSet>
      <sheetData sheetId="0"/>
      <sheetData sheetId="1"/>
      <sheetData sheetId="2"/>
      <sheetData sheetId="3"/>
      <sheetData sheetId="4">
        <row r="3">
          <cell r="K3" t="str">
            <v>Porcentagem</v>
          </cell>
        </row>
        <row r="4">
          <cell r="J4" t="str">
            <v>Nunca se justifica</v>
          </cell>
          <cell r="K4">
            <v>0.29199999999999998</v>
          </cell>
        </row>
        <row r="5">
          <cell r="J5">
            <v>2</v>
          </cell>
          <cell r="K5">
            <v>1.6E-2</v>
          </cell>
        </row>
        <row r="6">
          <cell r="J6">
            <v>3</v>
          </cell>
          <cell r="K6">
            <v>2.3E-2</v>
          </cell>
        </row>
        <row r="7">
          <cell r="J7">
            <v>4</v>
          </cell>
          <cell r="K7">
            <v>2.7000000000000003E-2</v>
          </cell>
        </row>
        <row r="8">
          <cell r="J8">
            <v>5</v>
          </cell>
          <cell r="K8">
            <v>0.16399999999999998</v>
          </cell>
        </row>
        <row r="9">
          <cell r="J9">
            <v>6</v>
          </cell>
          <cell r="K9">
            <v>4.5999999999999999E-2</v>
          </cell>
        </row>
        <row r="10">
          <cell r="J10">
            <v>7</v>
          </cell>
          <cell r="K10">
            <v>3.5000000000000003E-2</v>
          </cell>
        </row>
        <row r="11">
          <cell r="J11">
            <v>8</v>
          </cell>
          <cell r="K11">
            <v>4.2999999999999997E-2</v>
          </cell>
        </row>
        <row r="12">
          <cell r="J12">
            <v>9</v>
          </cell>
          <cell r="K12">
            <v>2.1000000000000001E-2</v>
          </cell>
        </row>
        <row r="13">
          <cell r="J13" t="str">
            <v>Sempre se justifica</v>
          </cell>
          <cell r="K13">
            <v>0.187</v>
          </cell>
        </row>
        <row r="14">
          <cell r="J14" t="str">
            <v>Não sabe/Não respondeu</v>
          </cell>
          <cell r="K14">
            <v>0.14599999999999999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E22" sqref="E22"/>
    </sheetView>
  </sheetViews>
  <sheetFormatPr defaultRowHeight="14.5" x14ac:dyDescent="0.35"/>
  <cols>
    <col min="2" max="2" width="10.1796875" bestFit="1" customWidth="1"/>
  </cols>
  <sheetData>
    <row r="1" spans="1:4" x14ac:dyDescent="0.35">
      <c r="A1" t="s">
        <v>0</v>
      </c>
    </row>
    <row r="2" spans="1:4" x14ac:dyDescent="0.35">
      <c r="B2" t="s">
        <v>1</v>
      </c>
      <c r="C2" t="s">
        <v>2</v>
      </c>
      <c r="D2" t="s">
        <v>3</v>
      </c>
    </row>
    <row r="3" spans="1:4" x14ac:dyDescent="0.35">
      <c r="A3">
        <v>2014</v>
      </c>
      <c r="B3">
        <v>761</v>
      </c>
      <c r="C3">
        <v>672</v>
      </c>
      <c r="D3">
        <v>89</v>
      </c>
    </row>
    <row r="4" spans="1:4" x14ac:dyDescent="0.35">
      <c r="A4">
        <v>2015</v>
      </c>
      <c r="B4">
        <v>3278</v>
      </c>
      <c r="C4">
        <v>2952</v>
      </c>
      <c r="D4">
        <v>326</v>
      </c>
    </row>
    <row r="5" spans="1:4" x14ac:dyDescent="0.35">
      <c r="A5">
        <v>2016</v>
      </c>
      <c r="B5">
        <v>3602</v>
      </c>
      <c r="C5">
        <v>3213</v>
      </c>
      <c r="D5">
        <v>389</v>
      </c>
    </row>
    <row r="6" spans="1:4" x14ac:dyDescent="0.35">
      <c r="A6">
        <v>2017</v>
      </c>
      <c r="B6">
        <v>4369</v>
      </c>
      <c r="C6">
        <v>3799</v>
      </c>
      <c r="D6">
        <v>570</v>
      </c>
    </row>
    <row r="7" spans="1:4" x14ac:dyDescent="0.35">
      <c r="A7">
        <v>2018</v>
      </c>
      <c r="B7">
        <v>5057</v>
      </c>
      <c r="C7">
        <v>4313</v>
      </c>
      <c r="D7">
        <v>744</v>
      </c>
    </row>
    <row r="8" spans="1:4" x14ac:dyDescent="0.35">
      <c r="A8">
        <v>2019</v>
      </c>
      <c r="B8">
        <v>5548</v>
      </c>
      <c r="C8">
        <v>4518</v>
      </c>
      <c r="D8">
        <v>1030</v>
      </c>
    </row>
    <row r="9" spans="1:4" x14ac:dyDescent="0.35">
      <c r="A9">
        <v>2020</v>
      </c>
      <c r="B9">
        <v>4933</v>
      </c>
      <c r="C9">
        <v>3961</v>
      </c>
      <c r="D9">
        <v>972</v>
      </c>
    </row>
    <row r="10" spans="1:4" x14ac:dyDescent="0.35">
      <c r="A10">
        <v>2021</v>
      </c>
      <c r="B10">
        <v>5759</v>
      </c>
      <c r="C10">
        <v>4372</v>
      </c>
      <c r="D10">
        <v>1387</v>
      </c>
    </row>
    <row r="11" spans="1:4" x14ac:dyDescent="0.35">
      <c r="A11">
        <v>2022</v>
      </c>
      <c r="B11">
        <v>7276</v>
      </c>
      <c r="C11">
        <v>5299</v>
      </c>
      <c r="D11">
        <v>1977</v>
      </c>
    </row>
    <row r="12" spans="1:4" x14ac:dyDescent="0.35">
      <c r="A12">
        <v>2023</v>
      </c>
      <c r="B12">
        <v>9845</v>
      </c>
      <c r="C12">
        <v>7115</v>
      </c>
      <c r="D12">
        <v>2730</v>
      </c>
    </row>
    <row r="15" spans="1:4" x14ac:dyDescent="0.35">
      <c r="B15" s="2">
        <f>((B12-B3)/B3)*100</f>
        <v>1193.6925098554534</v>
      </c>
    </row>
    <row r="16" spans="1:4" x14ac:dyDescent="0.35">
      <c r="B16">
        <f>(B12/B3-1)*100</f>
        <v>1193.6925098554534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2" sqref="D2"/>
    </sheetView>
  </sheetViews>
  <sheetFormatPr defaultRowHeight="14.5" x14ac:dyDescent="0.35"/>
  <sheetData>
    <row r="1" spans="1:4" ht="15" x14ac:dyDescent="0.35">
      <c r="A1" s="1" t="s">
        <v>4</v>
      </c>
    </row>
    <row r="2" spans="1:4" x14ac:dyDescent="0.35"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>
        <v>9.1999999999999993</v>
      </c>
      <c r="C3">
        <v>5.8</v>
      </c>
      <c r="D3">
        <v>12.1</v>
      </c>
    </row>
    <row r="4" spans="1:4" x14ac:dyDescent="0.35">
      <c r="A4" t="s">
        <v>9</v>
      </c>
      <c r="B4">
        <v>10.6</v>
      </c>
      <c r="C4">
        <v>13</v>
      </c>
      <c r="D4">
        <v>24.9</v>
      </c>
    </row>
    <row r="5" spans="1:4" x14ac:dyDescent="0.35">
      <c r="A5" t="s">
        <v>10</v>
      </c>
      <c r="B5">
        <v>12.1</v>
      </c>
      <c r="C5">
        <v>18.3</v>
      </c>
      <c r="D5">
        <v>24</v>
      </c>
    </row>
    <row r="6" spans="1:4" x14ac:dyDescent="0.35">
      <c r="A6" t="s">
        <v>11</v>
      </c>
      <c r="B6">
        <v>12.9</v>
      </c>
      <c r="C6">
        <v>19.100000000000001</v>
      </c>
      <c r="D6">
        <v>15.1</v>
      </c>
    </row>
    <row r="7" spans="1:4" x14ac:dyDescent="0.35">
      <c r="A7" t="s">
        <v>12</v>
      </c>
      <c r="B7">
        <v>11.6</v>
      </c>
      <c r="C7">
        <v>14.1</v>
      </c>
      <c r="D7">
        <v>10.4</v>
      </c>
    </row>
    <row r="8" spans="1:4" x14ac:dyDescent="0.35">
      <c r="A8" t="s">
        <v>13</v>
      </c>
      <c r="B8">
        <v>10.8</v>
      </c>
      <c r="C8">
        <v>9.9</v>
      </c>
      <c r="D8">
        <v>5.8</v>
      </c>
    </row>
    <row r="9" spans="1:4" x14ac:dyDescent="0.35">
      <c r="A9" t="s">
        <v>14</v>
      </c>
      <c r="B9">
        <v>9.4</v>
      </c>
      <c r="C9">
        <v>6.7</v>
      </c>
      <c r="D9">
        <v>3.4</v>
      </c>
    </row>
    <row r="10" spans="1:4" x14ac:dyDescent="0.35">
      <c r="A10" t="s">
        <v>15</v>
      </c>
      <c r="B10">
        <v>6.6</v>
      </c>
      <c r="C10">
        <v>4.7</v>
      </c>
      <c r="D10">
        <v>1.8</v>
      </c>
    </row>
    <row r="11" spans="1:4" x14ac:dyDescent="0.35">
      <c r="A11" t="s">
        <v>16</v>
      </c>
      <c r="B11">
        <v>4.3</v>
      </c>
      <c r="C11">
        <v>2.9</v>
      </c>
      <c r="D11">
        <v>1.1000000000000001</v>
      </c>
    </row>
    <row r="12" spans="1:4" x14ac:dyDescent="0.35">
      <c r="A12" t="s">
        <v>17</v>
      </c>
      <c r="B12">
        <v>3</v>
      </c>
      <c r="C12">
        <v>2</v>
      </c>
      <c r="D12">
        <v>0.5</v>
      </c>
    </row>
    <row r="13" spans="1:4" x14ac:dyDescent="0.35">
      <c r="A13" t="s">
        <v>18</v>
      </c>
      <c r="B13">
        <v>2.8</v>
      </c>
      <c r="C13">
        <v>1.1000000000000001</v>
      </c>
      <c r="D13">
        <v>0.3</v>
      </c>
    </row>
    <row r="14" spans="1:4" x14ac:dyDescent="0.35">
      <c r="A14" t="s">
        <v>19</v>
      </c>
      <c r="B14">
        <v>2.1</v>
      </c>
      <c r="C14">
        <v>0.9</v>
      </c>
      <c r="D14">
        <v>0.3</v>
      </c>
    </row>
    <row r="15" spans="1:4" x14ac:dyDescent="0.35">
      <c r="A15" t="s">
        <v>20</v>
      </c>
      <c r="B15">
        <v>1.7</v>
      </c>
      <c r="C15">
        <v>0.8</v>
      </c>
      <c r="D15">
        <v>0.1</v>
      </c>
    </row>
    <row r="16" spans="1:4" x14ac:dyDescent="0.35">
      <c r="A16" t="s">
        <v>21</v>
      </c>
      <c r="B16">
        <v>1.3</v>
      </c>
      <c r="C16">
        <v>0.3</v>
      </c>
      <c r="D16">
        <v>0.1</v>
      </c>
    </row>
    <row r="17" spans="1:4" x14ac:dyDescent="0.35">
      <c r="A17" t="s">
        <v>22</v>
      </c>
      <c r="B17">
        <v>1.8</v>
      </c>
      <c r="C17">
        <v>0.5</v>
      </c>
      <c r="D17">
        <v>0.2</v>
      </c>
    </row>
    <row r="18" spans="1:4" x14ac:dyDescent="0.35">
      <c r="B18">
        <v>100</v>
      </c>
      <c r="C18">
        <v>100</v>
      </c>
      <c r="D18">
        <v>100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B31" sqref="B31"/>
    </sheetView>
  </sheetViews>
  <sheetFormatPr defaultRowHeight="14.5" x14ac:dyDescent="0.35"/>
  <cols>
    <col min="2" max="2" width="12.7265625" customWidth="1"/>
    <col min="3" max="4" width="13.1796875" customWidth="1"/>
  </cols>
  <sheetData>
    <row r="1" spans="1:4" x14ac:dyDescent="0.35">
      <c r="A1" t="s">
        <v>23</v>
      </c>
    </row>
    <row r="3" spans="1:4" x14ac:dyDescent="0.35">
      <c r="A3" t="s">
        <v>24</v>
      </c>
      <c r="B3" t="s">
        <v>25</v>
      </c>
      <c r="C3" t="s">
        <v>26</v>
      </c>
      <c r="D3" t="s">
        <v>27</v>
      </c>
    </row>
    <row r="4" spans="1:4" x14ac:dyDescent="0.35">
      <c r="A4">
        <v>2014</v>
      </c>
      <c r="B4">
        <v>78</v>
      </c>
      <c r="C4">
        <v>291</v>
      </c>
      <c r="D4">
        <v>27</v>
      </c>
    </row>
    <row r="5" spans="1:4" x14ac:dyDescent="0.35">
      <c r="A5">
        <v>2015</v>
      </c>
      <c r="B5">
        <v>468</v>
      </c>
      <c r="C5">
        <v>1777</v>
      </c>
      <c r="D5">
        <v>259</v>
      </c>
    </row>
    <row r="6" spans="1:4" x14ac:dyDescent="0.35">
      <c r="A6">
        <v>2016</v>
      </c>
      <c r="B6">
        <v>650</v>
      </c>
      <c r="C6">
        <v>2358</v>
      </c>
      <c r="D6">
        <v>344</v>
      </c>
    </row>
    <row r="7" spans="1:4" x14ac:dyDescent="0.35">
      <c r="A7">
        <v>2017</v>
      </c>
      <c r="B7">
        <v>573</v>
      </c>
      <c r="C7">
        <v>1971</v>
      </c>
      <c r="D7">
        <v>438</v>
      </c>
    </row>
    <row r="8" spans="1:4" x14ac:dyDescent="0.35">
      <c r="A8">
        <v>2018</v>
      </c>
      <c r="B8">
        <v>539</v>
      </c>
      <c r="C8">
        <v>2154</v>
      </c>
      <c r="D8">
        <v>484</v>
      </c>
    </row>
    <row r="9" spans="1:4" x14ac:dyDescent="0.35">
      <c r="A9">
        <v>2019</v>
      </c>
      <c r="B9">
        <v>517</v>
      </c>
      <c r="C9">
        <v>2079</v>
      </c>
      <c r="D9">
        <v>467</v>
      </c>
    </row>
    <row r="10" spans="1:4" x14ac:dyDescent="0.35">
      <c r="A10">
        <v>2020</v>
      </c>
      <c r="B10">
        <v>443</v>
      </c>
      <c r="C10">
        <v>1859</v>
      </c>
      <c r="D10">
        <v>441</v>
      </c>
    </row>
    <row r="11" spans="1:4" x14ac:dyDescent="0.35">
      <c r="A11">
        <v>2021</v>
      </c>
      <c r="B11">
        <v>565</v>
      </c>
      <c r="C11">
        <v>2120</v>
      </c>
      <c r="D11">
        <v>418</v>
      </c>
    </row>
    <row r="12" spans="1:4" x14ac:dyDescent="0.35">
      <c r="A12">
        <v>2022</v>
      </c>
      <c r="B12">
        <v>753</v>
      </c>
      <c r="C12">
        <v>2540</v>
      </c>
      <c r="D12">
        <v>555</v>
      </c>
    </row>
    <row r="13" spans="1:4" x14ac:dyDescent="0.35">
      <c r="A13">
        <v>2023</v>
      </c>
      <c r="B13">
        <v>1332</v>
      </c>
      <c r="C13">
        <v>3524</v>
      </c>
      <c r="D13">
        <v>659</v>
      </c>
    </row>
    <row r="15" spans="1:4" x14ac:dyDescent="0.35">
      <c r="B15" s="2">
        <f>(B13/B4-1)*100</f>
        <v>1607.6923076923076</v>
      </c>
      <c r="C15">
        <f>(C13/C4-1)*100</f>
        <v>1110.9965635738831</v>
      </c>
      <c r="D15">
        <f>(D13/D4-1)*100</f>
        <v>2340.7407407407409</v>
      </c>
    </row>
    <row r="19" spans="1:7" x14ac:dyDescent="0.35">
      <c r="A19" t="s">
        <v>36</v>
      </c>
      <c r="B19" t="s">
        <v>37</v>
      </c>
    </row>
    <row r="20" spans="1:7" x14ac:dyDescent="0.35">
      <c r="A20">
        <v>2014</v>
      </c>
      <c r="B20">
        <f>SUM(B4:D4)</f>
        <v>396</v>
      </c>
    </row>
    <row r="21" spans="1:7" x14ac:dyDescent="0.35">
      <c r="A21">
        <v>2015</v>
      </c>
      <c r="B21">
        <f t="shared" ref="B21:B29" si="0">SUM(B5:D5)</f>
        <v>2504</v>
      </c>
    </row>
    <row r="22" spans="1:7" x14ac:dyDescent="0.35">
      <c r="A22">
        <v>2016</v>
      </c>
      <c r="B22">
        <f t="shared" si="0"/>
        <v>3352</v>
      </c>
    </row>
    <row r="23" spans="1:7" x14ac:dyDescent="0.35">
      <c r="A23">
        <v>2017</v>
      </c>
      <c r="B23">
        <f t="shared" si="0"/>
        <v>2982</v>
      </c>
    </row>
    <row r="24" spans="1:7" x14ac:dyDescent="0.35">
      <c r="A24">
        <v>2018</v>
      </c>
      <c r="B24">
        <f t="shared" si="0"/>
        <v>3177</v>
      </c>
      <c r="E24" s="3"/>
      <c r="G24" s="3"/>
    </row>
    <row r="25" spans="1:7" x14ac:dyDescent="0.35">
      <c r="A25">
        <v>2019</v>
      </c>
      <c r="B25">
        <f t="shared" si="0"/>
        <v>3063</v>
      </c>
    </row>
    <row r="26" spans="1:7" x14ac:dyDescent="0.35">
      <c r="A26">
        <v>2020</v>
      </c>
      <c r="B26">
        <f t="shared" si="0"/>
        <v>2743</v>
      </c>
    </row>
    <row r="27" spans="1:7" x14ac:dyDescent="0.35">
      <c r="A27">
        <v>2021</v>
      </c>
      <c r="B27">
        <f t="shared" si="0"/>
        <v>3103</v>
      </c>
    </row>
    <row r="28" spans="1:7" x14ac:dyDescent="0.35">
      <c r="A28">
        <v>2022</v>
      </c>
      <c r="B28">
        <f t="shared" si="0"/>
        <v>3848</v>
      </c>
    </row>
    <row r="29" spans="1:7" x14ac:dyDescent="0.35">
      <c r="A29">
        <v>2023</v>
      </c>
      <c r="B29">
        <f t="shared" si="0"/>
        <v>5515</v>
      </c>
    </row>
    <row r="31" spans="1:7" x14ac:dyDescent="0.35">
      <c r="B31" s="2">
        <f>(B29/B20-1)*100</f>
        <v>1292.6767676767677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4" sqref="D4"/>
    </sheetView>
  </sheetViews>
  <sheetFormatPr defaultRowHeight="14.5" x14ac:dyDescent="0.35"/>
  <sheetData>
    <row r="1" spans="1:4" ht="15" x14ac:dyDescent="0.35">
      <c r="A1" s="1" t="s">
        <v>28</v>
      </c>
    </row>
    <row r="2" spans="1:4" x14ac:dyDescent="0.35">
      <c r="B2" t="s">
        <v>27</v>
      </c>
      <c r="C2" t="s">
        <v>29</v>
      </c>
      <c r="D2" t="s">
        <v>30</v>
      </c>
    </row>
    <row r="3" spans="1:4" x14ac:dyDescent="0.35">
      <c r="A3" t="s">
        <v>31</v>
      </c>
      <c r="B3" s="4">
        <v>0.30199999999999999</v>
      </c>
      <c r="C3" s="4">
        <v>0.32799999999999996</v>
      </c>
      <c r="D3" s="4">
        <v>0.48100000000000004</v>
      </c>
    </row>
    <row r="4" spans="1:4" x14ac:dyDescent="0.35">
      <c r="A4" t="s">
        <v>32</v>
      </c>
      <c r="B4" s="4">
        <v>0.64899999999999991</v>
      </c>
      <c r="C4" s="4">
        <v>0.61899999999999999</v>
      </c>
      <c r="D4" s="4">
        <v>0.47499999999999998</v>
      </c>
    </row>
    <row r="5" spans="1:4" x14ac:dyDescent="0.35">
      <c r="A5" t="s">
        <v>33</v>
      </c>
      <c r="B5" s="4">
        <v>8.0000000000000002E-3</v>
      </c>
      <c r="C5" s="4">
        <v>0.01</v>
      </c>
      <c r="D5" s="4">
        <v>9.0000000000000011E-3</v>
      </c>
    </row>
    <row r="6" spans="1:4" x14ac:dyDescent="0.35">
      <c r="A6" t="s">
        <v>34</v>
      </c>
      <c r="B6" s="4">
        <v>1.8000000000000002E-2</v>
      </c>
      <c r="C6" s="4">
        <v>1.6E-2</v>
      </c>
      <c r="D6" s="4">
        <v>1.7000000000000001E-2</v>
      </c>
    </row>
    <row r="7" spans="1:4" x14ac:dyDescent="0.35">
      <c r="A7" t="s">
        <v>35</v>
      </c>
      <c r="B7" s="4">
        <v>2.3E-2</v>
      </c>
      <c r="C7" s="4">
        <v>2.7000000000000003E-2</v>
      </c>
      <c r="D7" s="4">
        <v>1.7000000000000001E-2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55" zoomScaleNormal="55" workbookViewId="0">
      <selection activeCell="P8" sqref="P8"/>
    </sheetView>
  </sheetViews>
  <sheetFormatPr defaultRowHeight="14.5" x14ac:dyDescent="0.35"/>
  <cols>
    <col min="1" max="1" width="34.7265625" customWidth="1"/>
    <col min="5" max="5" width="12.453125" customWidth="1"/>
    <col min="7" max="7" width="11.7265625" bestFit="1" customWidth="1"/>
    <col min="10" max="10" width="13.7265625" customWidth="1"/>
  </cols>
  <sheetData>
    <row r="1" spans="1:11" x14ac:dyDescent="0.35">
      <c r="B1" t="s">
        <v>38</v>
      </c>
    </row>
    <row r="2" spans="1:11" x14ac:dyDescent="0.35">
      <c r="B2" t="s">
        <v>39</v>
      </c>
    </row>
    <row r="3" spans="1:11" x14ac:dyDescent="0.35">
      <c r="J3" t="s">
        <v>40</v>
      </c>
      <c r="K3" t="s">
        <v>41</v>
      </c>
    </row>
    <row r="4" spans="1:11" x14ac:dyDescent="0.35">
      <c r="A4" t="s">
        <v>42</v>
      </c>
      <c r="B4" t="s">
        <v>43</v>
      </c>
      <c r="C4" t="s">
        <v>44</v>
      </c>
      <c r="F4" t="s">
        <v>45</v>
      </c>
      <c r="G4" t="s">
        <v>46</v>
      </c>
      <c r="J4" t="s">
        <v>47</v>
      </c>
      <c r="K4" s="5">
        <v>0.29199999999999998</v>
      </c>
    </row>
    <row r="5" spans="1:11" x14ac:dyDescent="0.35">
      <c r="A5" t="s">
        <v>48</v>
      </c>
      <c r="B5">
        <v>515</v>
      </c>
      <c r="C5">
        <v>29.2</v>
      </c>
      <c r="E5" t="s">
        <v>47</v>
      </c>
      <c r="F5">
        <v>515</v>
      </c>
      <c r="G5">
        <v>29.2</v>
      </c>
      <c r="H5" s="6">
        <f>G5/100</f>
        <v>0.29199999999999998</v>
      </c>
      <c r="J5">
        <v>2</v>
      </c>
      <c r="K5" s="5">
        <v>1.6E-2</v>
      </c>
    </row>
    <row r="6" spans="1:11" x14ac:dyDescent="0.35">
      <c r="A6">
        <v>2</v>
      </c>
      <c r="B6">
        <v>28</v>
      </c>
      <c r="C6">
        <v>1.6</v>
      </c>
      <c r="E6">
        <v>2</v>
      </c>
      <c r="F6">
        <v>28</v>
      </c>
      <c r="G6">
        <v>1.6</v>
      </c>
      <c r="H6" s="6">
        <f t="shared" ref="H6:H15" si="0">G6/100</f>
        <v>1.6E-2</v>
      </c>
      <c r="J6">
        <v>3</v>
      </c>
      <c r="K6" s="5">
        <v>2.3E-2</v>
      </c>
    </row>
    <row r="7" spans="1:11" x14ac:dyDescent="0.35">
      <c r="A7">
        <v>3</v>
      </c>
      <c r="B7">
        <v>41</v>
      </c>
      <c r="C7">
        <v>2.2999999999999998</v>
      </c>
      <c r="E7">
        <v>3</v>
      </c>
      <c r="F7">
        <v>41</v>
      </c>
      <c r="G7">
        <v>2.2999999999999998</v>
      </c>
      <c r="H7" s="6">
        <f t="shared" si="0"/>
        <v>2.3E-2</v>
      </c>
      <c r="J7">
        <v>4</v>
      </c>
      <c r="K7" s="5">
        <v>2.7000000000000003E-2</v>
      </c>
    </row>
    <row r="8" spans="1:11" x14ac:dyDescent="0.35">
      <c r="A8">
        <v>4</v>
      </c>
      <c r="B8">
        <v>48</v>
      </c>
      <c r="C8">
        <v>2.7</v>
      </c>
      <c r="E8">
        <v>4</v>
      </c>
      <c r="F8">
        <v>48</v>
      </c>
      <c r="G8">
        <v>2.7</v>
      </c>
      <c r="H8" s="6">
        <f t="shared" si="0"/>
        <v>2.7000000000000003E-2</v>
      </c>
      <c r="J8">
        <v>5</v>
      </c>
      <c r="K8" s="5">
        <v>0.16399999999999998</v>
      </c>
    </row>
    <row r="9" spans="1:11" x14ac:dyDescent="0.35">
      <c r="A9">
        <v>5</v>
      </c>
      <c r="B9">
        <v>290</v>
      </c>
      <c r="C9">
        <v>16.399999999999999</v>
      </c>
      <c r="E9">
        <v>5</v>
      </c>
      <c r="F9">
        <v>290</v>
      </c>
      <c r="G9">
        <v>16.399999999999999</v>
      </c>
      <c r="H9" s="6">
        <f t="shared" si="0"/>
        <v>0.16399999999999998</v>
      </c>
      <c r="J9">
        <v>6</v>
      </c>
      <c r="K9" s="5">
        <v>4.5999999999999999E-2</v>
      </c>
    </row>
    <row r="10" spans="1:11" x14ac:dyDescent="0.35">
      <c r="A10">
        <v>6</v>
      </c>
      <c r="B10">
        <v>81</v>
      </c>
      <c r="C10">
        <v>4.5999999999999996</v>
      </c>
      <c r="E10">
        <v>6</v>
      </c>
      <c r="F10">
        <v>81</v>
      </c>
      <c r="G10">
        <v>4.5999999999999996</v>
      </c>
      <c r="H10" s="6">
        <f t="shared" si="0"/>
        <v>4.5999999999999999E-2</v>
      </c>
      <c r="J10">
        <v>7</v>
      </c>
      <c r="K10" s="5">
        <v>3.5000000000000003E-2</v>
      </c>
    </row>
    <row r="11" spans="1:11" x14ac:dyDescent="0.35">
      <c r="A11">
        <v>7</v>
      </c>
      <c r="B11">
        <v>62</v>
      </c>
      <c r="C11">
        <v>3.5</v>
      </c>
      <c r="E11">
        <v>7</v>
      </c>
      <c r="F11">
        <v>62</v>
      </c>
      <c r="G11">
        <v>3.5</v>
      </c>
      <c r="H11" s="6">
        <f t="shared" si="0"/>
        <v>3.5000000000000003E-2</v>
      </c>
      <c r="J11">
        <v>8</v>
      </c>
      <c r="K11" s="5">
        <v>4.2999999999999997E-2</v>
      </c>
    </row>
    <row r="12" spans="1:11" x14ac:dyDescent="0.35">
      <c r="A12">
        <v>8</v>
      </c>
      <c r="B12">
        <v>75</v>
      </c>
      <c r="C12">
        <v>4.3</v>
      </c>
      <c r="E12">
        <v>8</v>
      </c>
      <c r="F12">
        <v>75</v>
      </c>
      <c r="G12">
        <v>4.3</v>
      </c>
      <c r="H12" s="6">
        <f t="shared" si="0"/>
        <v>4.2999999999999997E-2</v>
      </c>
      <c r="J12">
        <v>9</v>
      </c>
      <c r="K12" s="5">
        <v>2.1000000000000001E-2</v>
      </c>
    </row>
    <row r="13" spans="1:11" x14ac:dyDescent="0.35">
      <c r="A13">
        <v>9</v>
      </c>
      <c r="B13">
        <v>36</v>
      </c>
      <c r="C13">
        <v>2.1</v>
      </c>
      <c r="E13">
        <v>9</v>
      </c>
      <c r="F13">
        <v>36</v>
      </c>
      <c r="G13">
        <v>2.1</v>
      </c>
      <c r="H13" s="6">
        <f t="shared" si="0"/>
        <v>2.1000000000000001E-2</v>
      </c>
      <c r="J13" t="s">
        <v>49</v>
      </c>
      <c r="K13" s="5">
        <v>0.187</v>
      </c>
    </row>
    <row r="14" spans="1:11" x14ac:dyDescent="0.35">
      <c r="A14" t="s">
        <v>50</v>
      </c>
      <c r="B14">
        <v>330</v>
      </c>
      <c r="C14">
        <v>18.7</v>
      </c>
      <c r="E14" t="s">
        <v>49</v>
      </c>
      <c r="F14">
        <v>330</v>
      </c>
      <c r="G14">
        <v>18.7</v>
      </c>
      <c r="H14" s="6">
        <f t="shared" si="0"/>
        <v>0.187</v>
      </c>
      <c r="J14" t="s">
        <v>51</v>
      </c>
      <c r="K14" s="5">
        <v>0.14599999999999999</v>
      </c>
    </row>
    <row r="15" spans="1:11" x14ac:dyDescent="0.35">
      <c r="A15" t="s">
        <v>52</v>
      </c>
      <c r="B15">
        <v>188</v>
      </c>
      <c r="C15">
        <v>10.7</v>
      </c>
      <c r="E15" t="s">
        <v>51</v>
      </c>
      <c r="F15">
        <f>B15+B16</f>
        <v>256</v>
      </c>
      <c r="G15">
        <f>C15+C16</f>
        <v>14.6</v>
      </c>
      <c r="H15" s="6">
        <f t="shared" si="0"/>
        <v>0.14599999999999999</v>
      </c>
    </row>
    <row r="16" spans="1:11" x14ac:dyDescent="0.35">
      <c r="A16" t="s">
        <v>53</v>
      </c>
      <c r="B16">
        <v>68</v>
      </c>
      <c r="C16">
        <v>3.9</v>
      </c>
    </row>
    <row r="17" spans="1:3" x14ac:dyDescent="0.35">
      <c r="A17" t="s">
        <v>54</v>
      </c>
      <c r="B17">
        <v>1506</v>
      </c>
    </row>
    <row r="18" spans="1:3" x14ac:dyDescent="0.35">
      <c r="A18" t="s">
        <v>55</v>
      </c>
      <c r="B18">
        <v>4.97</v>
      </c>
    </row>
    <row r="19" spans="1:3" x14ac:dyDescent="0.35">
      <c r="A19" t="s">
        <v>56</v>
      </c>
      <c r="B19">
        <v>3.51</v>
      </c>
    </row>
    <row r="20" spans="1:3" x14ac:dyDescent="0.35">
      <c r="A20" t="s">
        <v>57</v>
      </c>
      <c r="B20">
        <v>1762</v>
      </c>
      <c r="C20">
        <v>100</v>
      </c>
    </row>
    <row r="23" spans="1:3" x14ac:dyDescent="0.35">
      <c r="B23" t="s">
        <v>58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B035B3EC2014DA1EA6F37AC058244" ma:contentTypeVersion="15" ma:contentTypeDescription="Create a new document." ma:contentTypeScope="" ma:versionID="da4db5da368910b74c135487808b3551">
  <xsd:schema xmlns:xsd="http://www.w3.org/2001/XMLSchema" xmlns:xs="http://www.w3.org/2001/XMLSchema" xmlns:p="http://schemas.microsoft.com/office/2006/metadata/properties" xmlns:ns2="c6aa8d14-b559-4fd0-8a99-b4b34e4a7433" xmlns:ns3="dc367be9-ad7b-4bef-b792-2afd30182724" targetNamespace="http://schemas.microsoft.com/office/2006/metadata/properties" ma:root="true" ma:fieldsID="133ace3b307c04a58e189567d54a3d00" ns2:_="" ns3:_="">
    <xsd:import namespace="c6aa8d14-b559-4fd0-8a99-b4b34e4a7433"/>
    <xsd:import namespace="dc367be9-ad7b-4bef-b792-2afd301827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8d14-b559-4fd0-8a99-b4b34e4a7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488cab7-bb12-4270-a718-8dac130be8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67be9-ad7b-4bef-b792-2afd3018272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1a4802-1d2e-4757-8bd7-ed977678ae4e}" ma:internalName="TaxCatchAll" ma:showField="CatchAllData" ma:web="dc367be9-ad7b-4bef-b792-2afd301827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67be9-ad7b-4bef-b792-2afd30182724" xsi:nil="true"/>
    <lcf76f155ced4ddcb4097134ff3c332f xmlns="c6aa8d14-b559-4fd0-8a99-b4b34e4a74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C88142-7C14-414E-A8C3-A18FF5E63957}"/>
</file>

<file path=customXml/itemProps2.xml><?xml version="1.0" encoding="utf-8"?>
<ds:datastoreItem xmlns:ds="http://schemas.openxmlformats.org/officeDocument/2006/customXml" ds:itemID="{8FB27665-ECAE-492F-BBBF-015A1C111F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1E429D-3C5B-44C4-A030-1AD77C10E94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dc367be9-ad7b-4bef-b792-2afd30182724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c6aa8d14-b559-4fd0-8a99-b4b34e4a74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Violência sexualidade</vt:lpstr>
      <vt:lpstr>Perfil etário sexualidade</vt:lpstr>
      <vt:lpstr>Violência gênero</vt:lpstr>
      <vt:lpstr>Perfil racial gênero</vt:lpstr>
      <vt:lpstr>Dados WVS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Pacheco</dc:creator>
  <cp:keywords/>
  <dc:description/>
  <cp:lastModifiedBy>Dennis Pacheco</cp:lastModifiedBy>
  <cp:revision/>
  <dcterms:created xsi:type="dcterms:W3CDTF">2025-04-07T15:07:35Z</dcterms:created>
  <dcterms:modified xsi:type="dcterms:W3CDTF">2025-04-23T15:32:47Z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0x01010018CB035B3EC2014DA1EA6F37AC058244</vt:lpwstr>
  </property>
  <property fmtid="{D5CDD505-2E9C-101B-9397-08002B2CF9AE}" pid="3" name="MediaServiceImageTags">
    <vt:lpwstr/>
  </property>
</Properties>
</file>