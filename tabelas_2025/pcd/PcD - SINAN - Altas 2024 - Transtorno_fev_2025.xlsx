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6.xml" ContentType="application/vnd.openxmlformats-officedocument.spreadsheetml.comment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pcd\"/>
    </mc:Choice>
  </mc:AlternateContent>
  <xr:revisionPtr revIDLastSave="0" documentId="13_ncr:1_{A8B24117-F5EA-4CEF-A994-0FE45BE90FFA}" xr6:coauthVersionLast="47" xr6:coauthVersionMax="47" xr10:uidLastSave="{00000000-0000-0000-0000-000000000000}"/>
  <bookViews>
    <workbookView xWindow="-120" yWindow="-120" windowWidth="29040" windowHeight="15720" tabRatio="805" firstSheet="2" activeTab="13" xr2:uid="{00000000-000D-0000-FFFF-FFFF00000000}"/>
  </bookViews>
  <sheets>
    <sheet name="sexo2018" sheetId="1" state="hidden" r:id="rId1"/>
    <sheet name="sexo2019auto" sheetId="2" state="hidden" r:id="rId2"/>
    <sheet name="sexo" sheetId="22" r:id="rId3"/>
    <sheet name="Fext - 2018" sheetId="3" state="hidden" r:id="rId4"/>
    <sheet name="Fext - 2019" sheetId="4" state="hidden" r:id="rId5"/>
    <sheet name="Raça-2018" sheetId="5" state="hidden" r:id="rId6"/>
    <sheet name="Raça-2019" sheetId="6" state="hidden" r:id="rId7"/>
    <sheet name="TipodefxAgr.auto" sheetId="7" state="hidden" r:id="rId8"/>
    <sheet name="TipodefxAgr" sheetId="23" r:id="rId9"/>
    <sheet name="Agrxfxet80.auto" sheetId="12" state="hidden" r:id="rId10"/>
    <sheet name="Agrxfxet80" sheetId="24" r:id="rId11"/>
    <sheet name="fxet80_agre.auto" sheetId="16" state="hidden" r:id="rId12"/>
    <sheet name="tipodef_t_violência" sheetId="29" r:id="rId13"/>
    <sheet name="t_violência x fxet80" sheetId="30" r:id="rId14"/>
    <sheet name="Natureza da Violência" sheetId="31" r:id="rId15"/>
    <sheet name="tviol_ind_fxet80" sheetId="27" state="hidden" r:id="rId16"/>
    <sheet name="tipodef-tviol_ind" sheetId="28" state="hidden" r:id="rId17"/>
    <sheet name="fxet80_agre" sheetId="26" state="hidden" r:id="rId18"/>
    <sheet name="tviol_ind_fxet80_auto" sheetId="15" state="hidden" r:id="rId19"/>
    <sheet name="tipodef-tviol_ind_auto" sheetId="13" state="hidden" r:id="rId20"/>
    <sheet name="tipodef_t_violência_auto" sheetId="18" state="hidden" r:id="rId21"/>
    <sheet name="t_violência x fxet80_auto" sheetId="21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30" l="1"/>
  <c r="L28" i="30"/>
  <c r="L26" i="30"/>
  <c r="L24" i="30"/>
  <c r="L22" i="30"/>
  <c r="L20" i="30"/>
  <c r="L21" i="30" s="1"/>
  <c r="L14" i="30"/>
  <c r="L12" i="30"/>
  <c r="L10" i="30"/>
  <c r="L8" i="30"/>
  <c r="L6" i="30"/>
  <c r="L4" i="30"/>
  <c r="K40" i="24"/>
  <c r="J40" i="24"/>
  <c r="I40" i="24"/>
  <c r="H40" i="24"/>
  <c r="G40" i="24"/>
  <c r="F40" i="24"/>
  <c r="E40" i="24"/>
  <c r="D40" i="24"/>
  <c r="C40" i="24"/>
  <c r="L38" i="24"/>
  <c r="L36" i="24"/>
  <c r="L34" i="24"/>
  <c r="L32" i="24"/>
  <c r="K26" i="24"/>
  <c r="J26" i="24"/>
  <c r="I26" i="24"/>
  <c r="H26" i="24"/>
  <c r="G26" i="24"/>
  <c r="F26" i="24"/>
  <c r="E26" i="24"/>
  <c r="D26" i="24"/>
  <c r="C26" i="24"/>
  <c r="L24" i="24"/>
  <c r="L22" i="24"/>
  <c r="L20" i="24"/>
  <c r="L18" i="24"/>
  <c r="K12" i="24"/>
  <c r="J12" i="24"/>
  <c r="I12" i="24"/>
  <c r="H12" i="24"/>
  <c r="G12" i="24"/>
  <c r="F12" i="24"/>
  <c r="E12" i="24"/>
  <c r="D12" i="24"/>
  <c r="C12" i="24"/>
  <c r="L10" i="24"/>
  <c r="L8" i="24"/>
  <c r="L6" i="24"/>
  <c r="L4" i="24"/>
  <c r="G56" i="23"/>
  <c r="F56" i="23"/>
  <c r="E56" i="23"/>
  <c r="D56" i="23"/>
  <c r="C56" i="23"/>
  <c r="G37" i="23"/>
  <c r="F37" i="23"/>
  <c r="E37" i="23"/>
  <c r="D37" i="23"/>
  <c r="C37" i="23"/>
  <c r="G16" i="23"/>
  <c r="F16" i="23"/>
  <c r="E16" i="23"/>
  <c r="D16" i="23"/>
  <c r="C16" i="23"/>
  <c r="H52" i="29"/>
  <c r="G52" i="29"/>
  <c r="F52" i="29"/>
  <c r="E52" i="29"/>
  <c r="D52" i="29"/>
  <c r="C52" i="29"/>
  <c r="D34" i="29"/>
  <c r="E34" i="29"/>
  <c r="F34" i="29"/>
  <c r="G34" i="29"/>
  <c r="H34" i="29"/>
  <c r="C34" i="29"/>
  <c r="D33" i="29"/>
  <c r="E33" i="29"/>
  <c r="F33" i="29"/>
  <c r="G33" i="29"/>
  <c r="C33" i="29"/>
  <c r="D16" i="29"/>
  <c r="E16" i="29"/>
  <c r="F16" i="29"/>
  <c r="G16" i="29"/>
  <c r="H16" i="29"/>
  <c r="C16" i="29"/>
  <c r="G15" i="29"/>
  <c r="F15" i="29"/>
  <c r="E15" i="29"/>
  <c r="D15" i="29"/>
  <c r="C15" i="29"/>
  <c r="G54" i="23"/>
  <c r="G52" i="23"/>
  <c r="G50" i="23"/>
  <c r="G48" i="23"/>
  <c r="G46" i="23"/>
  <c r="G44" i="23"/>
  <c r="G35" i="23"/>
  <c r="G33" i="23"/>
  <c r="G31" i="23"/>
  <c r="G29" i="23"/>
  <c r="G27" i="23"/>
  <c r="G25" i="23"/>
  <c r="G4" i="23"/>
  <c r="G6" i="23"/>
  <c r="G8" i="23"/>
  <c r="G12" i="23"/>
  <c r="G14" i="23"/>
  <c r="L23" i="30" l="1"/>
  <c r="L25" i="30"/>
  <c r="L40" i="24"/>
  <c r="L26" i="24"/>
  <c r="I27" i="24" s="1"/>
  <c r="L12" i="24"/>
  <c r="E13" i="24" s="1"/>
  <c r="K41" i="24"/>
  <c r="J41" i="24"/>
  <c r="I41" i="24"/>
  <c r="H41" i="24"/>
  <c r="G41" i="24"/>
  <c r="F41" i="24"/>
  <c r="E41" i="24"/>
  <c r="D41" i="24"/>
  <c r="C41" i="24"/>
  <c r="K39" i="24"/>
  <c r="J39" i="24"/>
  <c r="I39" i="24"/>
  <c r="H39" i="24"/>
  <c r="G39" i="24"/>
  <c r="F39" i="24"/>
  <c r="E39" i="24"/>
  <c r="D39" i="24"/>
  <c r="C39" i="24"/>
  <c r="K37" i="24"/>
  <c r="J37" i="24"/>
  <c r="I37" i="24"/>
  <c r="H37" i="24"/>
  <c r="G37" i="24"/>
  <c r="F37" i="24"/>
  <c r="E37" i="24"/>
  <c r="D37" i="24"/>
  <c r="C37" i="24"/>
  <c r="K35" i="24"/>
  <c r="J35" i="24"/>
  <c r="I35" i="24"/>
  <c r="H35" i="24"/>
  <c r="G35" i="24"/>
  <c r="F35" i="24"/>
  <c r="E35" i="24"/>
  <c r="D35" i="24"/>
  <c r="C35" i="24"/>
  <c r="K33" i="24"/>
  <c r="J33" i="24"/>
  <c r="I33" i="24"/>
  <c r="H33" i="24"/>
  <c r="G33" i="24"/>
  <c r="F33" i="24"/>
  <c r="E33" i="24"/>
  <c r="D33" i="24"/>
  <c r="C33" i="24"/>
  <c r="K27" i="24"/>
  <c r="J27" i="24"/>
  <c r="K25" i="24"/>
  <c r="J25" i="24"/>
  <c r="I25" i="24"/>
  <c r="H25" i="24"/>
  <c r="G25" i="24"/>
  <c r="F25" i="24"/>
  <c r="E25" i="24"/>
  <c r="D25" i="24"/>
  <c r="C25" i="24"/>
  <c r="C23" i="24"/>
  <c r="K23" i="24"/>
  <c r="J23" i="24"/>
  <c r="I23" i="24"/>
  <c r="H23" i="24"/>
  <c r="G23" i="24"/>
  <c r="F23" i="24"/>
  <c r="E23" i="24"/>
  <c r="D23" i="24"/>
  <c r="K21" i="24"/>
  <c r="J21" i="24"/>
  <c r="I21" i="24"/>
  <c r="H21" i="24"/>
  <c r="G21" i="24"/>
  <c r="F21" i="24"/>
  <c r="E21" i="24"/>
  <c r="D21" i="24"/>
  <c r="C21" i="24"/>
  <c r="K19" i="24"/>
  <c r="J19" i="24"/>
  <c r="I19" i="24"/>
  <c r="H19" i="24"/>
  <c r="G19" i="24"/>
  <c r="F19" i="24"/>
  <c r="E19" i="24"/>
  <c r="D19" i="24"/>
  <c r="C19" i="24"/>
  <c r="K13" i="24"/>
  <c r="J13" i="24"/>
  <c r="I13" i="24"/>
  <c r="H13" i="24"/>
  <c r="G13" i="24"/>
  <c r="F13" i="24"/>
  <c r="K11" i="24"/>
  <c r="J11" i="24"/>
  <c r="I11" i="24"/>
  <c r="H11" i="24"/>
  <c r="G11" i="24"/>
  <c r="F11" i="24"/>
  <c r="E11" i="24"/>
  <c r="D11" i="24"/>
  <c r="C11" i="24"/>
  <c r="K9" i="24"/>
  <c r="J9" i="24"/>
  <c r="I9" i="24"/>
  <c r="H9" i="24"/>
  <c r="G9" i="24"/>
  <c r="F9" i="24"/>
  <c r="E9" i="24"/>
  <c r="D9" i="24"/>
  <c r="C9" i="24"/>
  <c r="K7" i="24"/>
  <c r="J7" i="24"/>
  <c r="I7" i="24"/>
  <c r="H7" i="24"/>
  <c r="G7" i="24"/>
  <c r="F7" i="24"/>
  <c r="E7" i="24"/>
  <c r="D7" i="24"/>
  <c r="C7" i="24"/>
  <c r="D5" i="24"/>
  <c r="E5" i="24"/>
  <c r="F5" i="24"/>
  <c r="G5" i="24"/>
  <c r="H5" i="24"/>
  <c r="I5" i="24"/>
  <c r="J5" i="24"/>
  <c r="K5" i="24"/>
  <c r="C5" i="24"/>
  <c r="D57" i="23"/>
  <c r="E57" i="23"/>
  <c r="F57" i="23"/>
  <c r="C57" i="23"/>
  <c r="D55" i="23"/>
  <c r="E55" i="23"/>
  <c r="F55" i="23"/>
  <c r="C55" i="23"/>
  <c r="D53" i="23"/>
  <c r="E53" i="23"/>
  <c r="F53" i="23"/>
  <c r="C53" i="23"/>
  <c r="D51" i="23"/>
  <c r="E51" i="23"/>
  <c r="F51" i="23"/>
  <c r="C51" i="23"/>
  <c r="D49" i="23"/>
  <c r="E49" i="23"/>
  <c r="F49" i="23"/>
  <c r="C49" i="23"/>
  <c r="D47" i="23"/>
  <c r="E47" i="23"/>
  <c r="F47" i="23"/>
  <c r="C47" i="23"/>
  <c r="D45" i="23"/>
  <c r="E45" i="23"/>
  <c r="F45" i="23"/>
  <c r="C45" i="23"/>
  <c r="D38" i="23"/>
  <c r="E38" i="23"/>
  <c r="F38" i="23"/>
  <c r="C38" i="23"/>
  <c r="D36" i="23"/>
  <c r="E36" i="23"/>
  <c r="F36" i="23"/>
  <c r="C36" i="23"/>
  <c r="D34" i="23"/>
  <c r="E34" i="23"/>
  <c r="F34" i="23"/>
  <c r="C34" i="23"/>
  <c r="D32" i="23"/>
  <c r="E32" i="23"/>
  <c r="F32" i="23"/>
  <c r="C32" i="23"/>
  <c r="D30" i="23"/>
  <c r="E30" i="23"/>
  <c r="F30" i="23"/>
  <c r="C30" i="23"/>
  <c r="D28" i="23"/>
  <c r="E28" i="23"/>
  <c r="F28" i="23"/>
  <c r="C28" i="23"/>
  <c r="D26" i="23"/>
  <c r="E26" i="23"/>
  <c r="F26" i="23"/>
  <c r="C26" i="23"/>
  <c r="D17" i="23"/>
  <c r="E17" i="23"/>
  <c r="F17" i="23"/>
  <c r="C17" i="23"/>
  <c r="D15" i="23"/>
  <c r="E15" i="23"/>
  <c r="F15" i="23"/>
  <c r="C15" i="23"/>
  <c r="D13" i="23"/>
  <c r="E13" i="23"/>
  <c r="F13" i="23"/>
  <c r="C13" i="23"/>
  <c r="D11" i="23"/>
  <c r="E11" i="23"/>
  <c r="F11" i="23"/>
  <c r="C11" i="23"/>
  <c r="D9" i="23"/>
  <c r="E9" i="23"/>
  <c r="F9" i="23"/>
  <c r="C9" i="23"/>
  <c r="D7" i="23"/>
  <c r="E7" i="23"/>
  <c r="F7" i="23"/>
  <c r="C7" i="23"/>
  <c r="D5" i="23"/>
  <c r="E5" i="23"/>
  <c r="F5" i="23"/>
  <c r="C5" i="23"/>
  <c r="D45" i="30"/>
  <c r="E45" i="30"/>
  <c r="F45" i="30"/>
  <c r="G45" i="30"/>
  <c r="H45" i="30"/>
  <c r="I45" i="30"/>
  <c r="J45" i="30"/>
  <c r="K45" i="30"/>
  <c r="L45" i="30"/>
  <c r="C45" i="30"/>
  <c r="D43" i="30"/>
  <c r="E43" i="30"/>
  <c r="F43" i="30"/>
  <c r="G43" i="30"/>
  <c r="H43" i="30"/>
  <c r="I43" i="30"/>
  <c r="J43" i="30"/>
  <c r="K43" i="30"/>
  <c r="L43" i="30"/>
  <c r="C43" i="30"/>
  <c r="L39" i="30"/>
  <c r="L29" i="30"/>
  <c r="L27" i="30"/>
  <c r="D41" i="30"/>
  <c r="E41" i="30"/>
  <c r="F41" i="30"/>
  <c r="G41" i="30"/>
  <c r="H41" i="30"/>
  <c r="I41" i="30"/>
  <c r="J41" i="30"/>
  <c r="K41" i="30"/>
  <c r="L41" i="30"/>
  <c r="C41" i="30"/>
  <c r="D39" i="30"/>
  <c r="E39" i="30"/>
  <c r="F39" i="30"/>
  <c r="G39" i="30"/>
  <c r="H39" i="30"/>
  <c r="I39" i="30"/>
  <c r="J39" i="30"/>
  <c r="K39" i="30"/>
  <c r="C39" i="30"/>
  <c r="D29" i="30"/>
  <c r="E29" i="30"/>
  <c r="F29" i="30"/>
  <c r="G29" i="30"/>
  <c r="H29" i="30"/>
  <c r="I29" i="30"/>
  <c r="J29" i="30"/>
  <c r="K29" i="30"/>
  <c r="D27" i="30"/>
  <c r="E27" i="30"/>
  <c r="F27" i="30"/>
  <c r="G27" i="30"/>
  <c r="H27" i="30"/>
  <c r="I27" i="30"/>
  <c r="J27" i="30"/>
  <c r="K27" i="30"/>
  <c r="D21" i="30"/>
  <c r="E21" i="30"/>
  <c r="F21" i="30"/>
  <c r="G21" i="30"/>
  <c r="H21" i="30"/>
  <c r="I21" i="30"/>
  <c r="J21" i="30"/>
  <c r="K21" i="30"/>
  <c r="D25" i="30"/>
  <c r="E25" i="30"/>
  <c r="F25" i="30"/>
  <c r="G25" i="30"/>
  <c r="H25" i="30"/>
  <c r="I25" i="30"/>
  <c r="J25" i="30"/>
  <c r="K25" i="30"/>
  <c r="D23" i="30"/>
  <c r="E23" i="30"/>
  <c r="F23" i="30"/>
  <c r="G23" i="30"/>
  <c r="H23" i="30"/>
  <c r="I23" i="30"/>
  <c r="J23" i="30"/>
  <c r="K23" i="30"/>
  <c r="C29" i="30"/>
  <c r="C27" i="30"/>
  <c r="C25" i="30"/>
  <c r="C23" i="30"/>
  <c r="G51" i="29"/>
  <c r="F51" i="29"/>
  <c r="E51" i="29"/>
  <c r="D51" i="29"/>
  <c r="C51" i="29"/>
  <c r="C23" i="29"/>
  <c r="D23" i="29"/>
  <c r="E23" i="29"/>
  <c r="F23" i="29"/>
  <c r="G23" i="29"/>
  <c r="C25" i="29"/>
  <c r="D25" i="29"/>
  <c r="E25" i="29"/>
  <c r="F25" i="29"/>
  <c r="G25" i="29"/>
  <c r="C27" i="29"/>
  <c r="D27" i="29"/>
  <c r="E27" i="29"/>
  <c r="F27" i="29"/>
  <c r="G27" i="29"/>
  <c r="C29" i="29"/>
  <c r="D29" i="29"/>
  <c r="E29" i="29"/>
  <c r="F29" i="29"/>
  <c r="G29" i="29"/>
  <c r="C31" i="29"/>
  <c r="D31" i="29"/>
  <c r="E31" i="29"/>
  <c r="F31" i="29"/>
  <c r="G31" i="29"/>
  <c r="C35" i="29"/>
  <c r="D35" i="29"/>
  <c r="E35" i="29"/>
  <c r="F35" i="29"/>
  <c r="G35" i="29"/>
  <c r="C27" i="24" l="1"/>
  <c r="D27" i="24"/>
  <c r="E27" i="24"/>
  <c r="F27" i="24"/>
  <c r="G27" i="24"/>
  <c r="H27" i="24"/>
  <c r="C13" i="24"/>
  <c r="D13" i="24"/>
  <c r="D19" i="22"/>
  <c r="D47" i="30" l="1"/>
  <c r="E47" i="30"/>
  <c r="F47" i="30"/>
  <c r="G47" i="30"/>
  <c r="H47" i="30"/>
  <c r="I47" i="30"/>
  <c r="J47" i="30"/>
  <c r="K47" i="30"/>
  <c r="L47" i="30"/>
  <c r="C47" i="30"/>
  <c r="D31" i="30"/>
  <c r="E31" i="30"/>
  <c r="F31" i="30"/>
  <c r="G31" i="30"/>
  <c r="H31" i="30"/>
  <c r="I31" i="30"/>
  <c r="J31" i="30"/>
  <c r="K31" i="30"/>
  <c r="L31" i="30"/>
  <c r="C31" i="30"/>
  <c r="L15" i="30"/>
  <c r="C5" i="30"/>
  <c r="D53" i="29"/>
  <c r="E53" i="29"/>
  <c r="F53" i="29"/>
  <c r="G53" i="29"/>
  <c r="C53" i="29"/>
  <c r="D49" i="29"/>
  <c r="E49" i="29"/>
  <c r="F49" i="29"/>
  <c r="G49" i="29"/>
  <c r="C49" i="29"/>
  <c r="D47" i="29"/>
  <c r="E47" i="29"/>
  <c r="F47" i="29"/>
  <c r="G47" i="29"/>
  <c r="C47" i="29"/>
  <c r="D45" i="29"/>
  <c r="E45" i="29"/>
  <c r="F45" i="29"/>
  <c r="G45" i="29"/>
  <c r="C45" i="29"/>
  <c r="D43" i="29"/>
  <c r="E43" i="29"/>
  <c r="F43" i="29"/>
  <c r="G43" i="29"/>
  <c r="C43" i="29"/>
  <c r="D41" i="29"/>
  <c r="E41" i="29"/>
  <c r="F41" i="29"/>
  <c r="G41" i="29"/>
  <c r="C41" i="29"/>
  <c r="D5" i="29"/>
  <c r="E5" i="29"/>
  <c r="F5" i="29"/>
  <c r="G5" i="29"/>
  <c r="C5" i="29"/>
  <c r="D17" i="29"/>
  <c r="E17" i="29"/>
  <c r="F17" i="29"/>
  <c r="G17" i="29"/>
  <c r="C17" i="29"/>
  <c r="D13" i="29"/>
  <c r="E13" i="29"/>
  <c r="F13" i="29"/>
  <c r="G13" i="29"/>
  <c r="C13" i="29"/>
  <c r="D11" i="29"/>
  <c r="E11" i="29"/>
  <c r="F11" i="29"/>
  <c r="G11" i="29"/>
  <c r="C11" i="29"/>
  <c r="D9" i="29"/>
  <c r="E9" i="29"/>
  <c r="F9" i="29"/>
  <c r="G9" i="29"/>
  <c r="C9" i="29"/>
  <c r="D7" i="29"/>
  <c r="E7" i="29"/>
  <c r="F7" i="29"/>
  <c r="G7" i="29"/>
  <c r="C7" i="29"/>
  <c r="L37" i="30" l="1"/>
  <c r="K37" i="30"/>
  <c r="J37" i="30"/>
  <c r="I37" i="30"/>
  <c r="H37" i="30"/>
  <c r="G37" i="30"/>
  <c r="F37" i="30"/>
  <c r="E37" i="30"/>
  <c r="D37" i="30"/>
  <c r="C37" i="30"/>
  <c r="C21" i="30"/>
  <c r="K15" i="30"/>
  <c r="J15" i="30"/>
  <c r="I15" i="30"/>
  <c r="H15" i="30"/>
  <c r="G15" i="30"/>
  <c r="F15" i="30"/>
  <c r="E15" i="30"/>
  <c r="D15" i="30"/>
  <c r="C15" i="30"/>
  <c r="L13" i="30"/>
  <c r="K13" i="30"/>
  <c r="J13" i="30"/>
  <c r="I13" i="30"/>
  <c r="H13" i="30"/>
  <c r="G13" i="30"/>
  <c r="F13" i="30"/>
  <c r="E13" i="30"/>
  <c r="D13" i="30"/>
  <c r="C13" i="30"/>
  <c r="L11" i="30"/>
  <c r="K11" i="30"/>
  <c r="J11" i="30"/>
  <c r="I11" i="30"/>
  <c r="H11" i="30"/>
  <c r="G11" i="30"/>
  <c r="F11" i="30"/>
  <c r="E11" i="30"/>
  <c r="D11" i="30"/>
  <c r="C11" i="30"/>
  <c r="L9" i="30"/>
  <c r="K9" i="30"/>
  <c r="J9" i="30"/>
  <c r="I9" i="30"/>
  <c r="H9" i="30"/>
  <c r="G9" i="30"/>
  <c r="F9" i="30"/>
  <c r="E9" i="30"/>
  <c r="D9" i="30"/>
  <c r="C9" i="30"/>
  <c r="L7" i="30"/>
  <c r="K7" i="30"/>
  <c r="J7" i="30"/>
  <c r="I7" i="30"/>
  <c r="H7" i="30"/>
  <c r="G7" i="30"/>
  <c r="F7" i="30"/>
  <c r="E7" i="30"/>
  <c r="D7" i="30"/>
  <c r="C7" i="30"/>
  <c r="L5" i="30"/>
  <c r="K5" i="30"/>
  <c r="J5" i="30"/>
  <c r="I5" i="30"/>
  <c r="H5" i="30"/>
  <c r="G5" i="30"/>
  <c r="F5" i="30"/>
  <c r="E5" i="30"/>
  <c r="D5" i="30"/>
  <c r="B17" i="22"/>
  <c r="P2" i="22" s="1"/>
  <c r="K15" i="22"/>
  <c r="K17" i="22" s="1"/>
  <c r="Q2" i="22" s="1"/>
  <c r="H15" i="22"/>
  <c r="H17" i="22" s="1"/>
  <c r="N2" i="22" s="1"/>
  <c r="E15" i="22"/>
  <c r="E17" i="22" s="1"/>
  <c r="O2" i="22" s="1"/>
  <c r="B11" i="22"/>
  <c r="P3" i="22" s="1"/>
  <c r="K9" i="22"/>
  <c r="K11" i="22" s="1"/>
  <c r="H9" i="22"/>
  <c r="H11" i="22" s="1"/>
  <c r="N3" i="22" s="1"/>
  <c r="E9" i="22"/>
  <c r="E11" i="22" s="1"/>
  <c r="O3" i="22" s="1"/>
  <c r="B5" i="22"/>
  <c r="P4" i="22" s="1"/>
  <c r="K3" i="22"/>
  <c r="K5" i="22" s="1"/>
  <c r="Q4" i="22" s="1"/>
  <c r="H3" i="22"/>
  <c r="H5" i="22" s="1"/>
  <c r="N4" i="22" s="1"/>
  <c r="E3" i="22"/>
  <c r="E5" i="22" s="1"/>
  <c r="O4" i="22" s="1"/>
  <c r="Q3" i="22" l="1"/>
  <c r="D53" i="21"/>
  <c r="E53" i="21"/>
  <c r="F53" i="21"/>
  <c r="G53" i="21"/>
  <c r="H53" i="21"/>
  <c r="I53" i="21"/>
  <c r="J53" i="21"/>
  <c r="K53" i="21"/>
  <c r="C53" i="21"/>
  <c r="D34" i="21"/>
  <c r="E34" i="21"/>
  <c r="F34" i="21"/>
  <c r="G34" i="21"/>
  <c r="H34" i="21"/>
  <c r="I34" i="21"/>
  <c r="J34" i="21"/>
  <c r="K34" i="21"/>
  <c r="C34" i="21"/>
  <c r="D15" i="21" l="1"/>
  <c r="E15" i="21"/>
  <c r="F15" i="21"/>
  <c r="G15" i="21"/>
  <c r="H15" i="21"/>
  <c r="I15" i="21"/>
  <c r="J15" i="21"/>
  <c r="K15" i="21"/>
  <c r="C15" i="21"/>
  <c r="B11" i="5" l="1"/>
  <c r="B17" i="5"/>
  <c r="K9" i="5"/>
  <c r="K11" i="5" s="1"/>
  <c r="H9" i="5"/>
  <c r="H11" i="5" s="1"/>
  <c r="E9" i="5"/>
  <c r="E11" i="5" s="1"/>
  <c r="B5" i="5"/>
  <c r="K3" i="5"/>
  <c r="K5" i="5" s="1"/>
  <c r="H3" i="5"/>
  <c r="H5" i="5" s="1"/>
  <c r="E3" i="5"/>
  <c r="E5" i="5" s="1"/>
  <c r="B35" i="4"/>
  <c r="S4" i="4" s="1"/>
  <c r="K33" i="4"/>
  <c r="K35" i="4" s="1"/>
  <c r="S5" i="4" s="1"/>
  <c r="H33" i="4"/>
  <c r="H35" i="4" s="1"/>
  <c r="S2" i="4" s="1"/>
  <c r="E33" i="4"/>
  <c r="E35" i="4" s="1"/>
  <c r="S3" i="4" s="1"/>
  <c r="B29" i="4"/>
  <c r="R4" i="4" s="1"/>
  <c r="K27" i="4"/>
  <c r="K29" i="4" s="1"/>
  <c r="H27" i="4"/>
  <c r="H29" i="4" s="1"/>
  <c r="E27" i="4"/>
  <c r="E29" i="4" s="1"/>
  <c r="R3" i="4" s="1"/>
  <c r="B23" i="4"/>
  <c r="Q4" i="4" s="1"/>
  <c r="K21" i="4"/>
  <c r="K23" i="4" s="1"/>
  <c r="Q5" i="4" s="1"/>
  <c r="H21" i="4"/>
  <c r="H23" i="4" s="1"/>
  <c r="Q2" i="4" s="1"/>
  <c r="E21" i="4"/>
  <c r="E23" i="4" s="1"/>
  <c r="Q3" i="4" s="1"/>
  <c r="B17" i="4"/>
  <c r="P4" i="4" s="1"/>
  <c r="K15" i="4"/>
  <c r="K17" i="4" s="1"/>
  <c r="P5" i="4" s="1"/>
  <c r="H15" i="4"/>
  <c r="H17" i="4" s="1"/>
  <c r="P2" i="4" s="1"/>
  <c r="E15" i="4"/>
  <c r="E17" i="4" s="1"/>
  <c r="P3" i="4" s="1"/>
  <c r="B11" i="4"/>
  <c r="O4" i="4" s="1"/>
  <c r="K9" i="4"/>
  <c r="K11" i="4" s="1"/>
  <c r="O5" i="4" s="1"/>
  <c r="H9" i="4"/>
  <c r="H11" i="4" s="1"/>
  <c r="O2" i="4" s="1"/>
  <c r="E9" i="4"/>
  <c r="E11" i="4" s="1"/>
  <c r="O3" i="4" s="1"/>
  <c r="B5" i="4"/>
  <c r="N4" i="4" s="1"/>
  <c r="K3" i="4"/>
  <c r="K5" i="4" s="1"/>
  <c r="N5" i="4" s="1"/>
  <c r="H3" i="4"/>
  <c r="H5" i="4" s="1"/>
  <c r="N2" i="4" s="1"/>
  <c r="E3" i="4"/>
  <c r="E5" i="4" s="1"/>
  <c r="N3" i="4" s="1"/>
  <c r="K33" i="3"/>
  <c r="K35" i="3" s="1"/>
  <c r="H33" i="3"/>
  <c r="H35" i="3" s="1"/>
  <c r="E33" i="3"/>
  <c r="E35" i="3" s="1"/>
  <c r="K27" i="3"/>
  <c r="K29" i="3" s="1"/>
  <c r="H27" i="3"/>
  <c r="H29" i="3" s="1"/>
  <c r="E27" i="3"/>
  <c r="E29" i="3" s="1"/>
  <c r="K21" i="3"/>
  <c r="K23" i="3" s="1"/>
  <c r="H21" i="3"/>
  <c r="H23" i="3" s="1"/>
  <c r="E21" i="3"/>
  <c r="E23" i="3" s="1"/>
  <c r="B35" i="3"/>
  <c r="B29" i="3"/>
  <c r="B23" i="3"/>
  <c r="E3" i="3"/>
  <c r="E5" i="3" s="1"/>
  <c r="B17" i="3"/>
  <c r="K15" i="3"/>
  <c r="K17" i="3" s="1"/>
  <c r="H15" i="3"/>
  <c r="H17" i="3" s="1"/>
  <c r="E15" i="3"/>
  <c r="E17" i="3" s="1"/>
  <c r="B11" i="3"/>
  <c r="K9" i="3"/>
  <c r="K11" i="3" s="1"/>
  <c r="H9" i="3"/>
  <c r="H11" i="3" s="1"/>
  <c r="E9" i="3"/>
  <c r="E11" i="3" s="1"/>
  <c r="B5" i="3"/>
  <c r="K3" i="3"/>
  <c r="K5" i="3" s="1"/>
  <c r="H3" i="3"/>
  <c r="H5" i="3" s="1"/>
  <c r="B17" i="2"/>
  <c r="P2" i="2" s="1"/>
  <c r="K15" i="2"/>
  <c r="K17" i="2" s="1"/>
  <c r="Q2" i="2" s="1"/>
  <c r="H15" i="2"/>
  <c r="H17" i="2" s="1"/>
  <c r="N2" i="2" s="1"/>
  <c r="E15" i="2"/>
  <c r="E17" i="2" s="1"/>
  <c r="O2" i="2" s="1"/>
  <c r="B11" i="2"/>
  <c r="P3" i="2" s="1"/>
  <c r="K9" i="2"/>
  <c r="K11" i="2" s="1"/>
  <c r="Q3" i="2" s="1"/>
  <c r="H9" i="2"/>
  <c r="H11" i="2" s="1"/>
  <c r="N3" i="2" s="1"/>
  <c r="E9" i="2"/>
  <c r="E11" i="2" s="1"/>
  <c r="O3" i="2" s="1"/>
  <c r="B5" i="2"/>
  <c r="P4" i="2" s="1"/>
  <c r="K3" i="2"/>
  <c r="K5" i="2" s="1"/>
  <c r="Q4" i="2" s="1"/>
  <c r="H3" i="2"/>
  <c r="H5" i="2" s="1"/>
  <c r="N4" i="2" s="1"/>
  <c r="E3" i="2"/>
  <c r="E5" i="2" s="1"/>
  <c r="O4" i="2" s="1"/>
  <c r="R2" i="4" l="1"/>
  <c r="R5" i="4"/>
  <c r="K3" i="1"/>
  <c r="K9" i="1"/>
  <c r="K11" i="1" s="1"/>
  <c r="K15" i="1"/>
  <c r="K17" i="1" s="1"/>
  <c r="K5" i="1"/>
  <c r="H15" i="1"/>
  <c r="H9" i="1"/>
  <c r="H11" i="1" s="1"/>
  <c r="H3" i="1"/>
  <c r="H5" i="1" s="1"/>
  <c r="H17" i="1"/>
  <c r="E15" i="1"/>
  <c r="E17" i="1" s="1"/>
  <c r="E9" i="1"/>
  <c r="E11" i="1" s="1"/>
  <c r="E3" i="1"/>
  <c r="E5" i="1" s="1"/>
  <c r="B17" i="1"/>
  <c r="B11" i="1" l="1"/>
  <c r="B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G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Na PNS são àqueles nascentes com deficiência</t>
        </r>
      </text>
    </comment>
    <comment ref="A2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4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4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4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4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8" authorId="0" shapeId="0" xr:uid="{00000000-0006-0000-0000-00000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8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8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8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0" authorId="0" shapeId="0" xr:uid="{00000000-0006-0000-0000-00000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0" authorId="0" shapeId="0" xr:uid="{00000000-0006-0000-0000-00000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0" authorId="0" shapeId="0" xr:uid="{00000000-0006-0000-0000-00001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0" authorId="0" shapeId="0" xr:uid="{00000000-0006-0000-0000-00001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14" authorId="0" shapeId="0" xr:uid="{00000000-0006-0000-0000-00001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14" authorId="0" shapeId="0" xr:uid="{00000000-0006-0000-0000-00001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14" authorId="0" shapeId="0" xr:uid="{00000000-0006-0000-0000-00001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14" authorId="0" shapeId="0" xr:uid="{00000000-0006-0000-0000-00001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6" authorId="0" shapeId="0" xr:uid="{00000000-0006-0000-0000-00001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6" authorId="0" shapeId="0" xr:uid="{00000000-0006-0000-0000-00001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6" authorId="0" shapeId="0" xr:uid="{00000000-0006-0000-0000-00001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6" authorId="0" shapeId="0" xr:uid="{00000000-0006-0000-0000-00001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G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Na PNS são àqueles nascentes com deficiência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4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4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4" authorId="0" shapeId="0" xr:uid="{00000000-0006-0000-0100-00000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4" authorId="0" shapeId="0" xr:uid="{00000000-0006-0000-0100-00000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8" authorId="0" shapeId="0" xr:uid="{00000000-0006-0000-0100-00000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8" authorId="0" shapeId="0" xr:uid="{00000000-0006-0000-0100-00000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8" authorId="0" shapeId="0" xr:uid="{00000000-0006-0000-0100-00000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8" authorId="0" shapeId="0" xr:uid="{00000000-0006-0000-0100-00000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0" authorId="0" shapeId="0" xr:uid="{00000000-0006-0000-0100-00000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0" authorId="0" shapeId="0" xr:uid="{00000000-0006-0000-0100-00000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0" authorId="0" shapeId="0" xr:uid="{00000000-0006-0000-0100-00001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0" authorId="0" shapeId="0" xr:uid="{00000000-0006-0000-0100-00001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14" authorId="0" shapeId="0" xr:uid="{00000000-0006-0000-0100-00001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14" authorId="0" shapeId="0" xr:uid="{00000000-0006-0000-0100-00001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14" authorId="0" shapeId="0" xr:uid="{00000000-0006-0000-0100-00001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14" authorId="0" shapeId="0" xr:uid="{00000000-0006-0000-0100-00001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6" authorId="0" shapeId="0" xr:uid="{00000000-0006-0000-0100-00001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6" authorId="0" shapeId="0" xr:uid="{00000000-0006-0000-0100-00001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6" authorId="0" shapeId="0" xr:uid="{00000000-0006-0000-0100-00001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6" authorId="0" shapeId="0" xr:uid="{00000000-0006-0000-0100-00001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  <author>Gabriel Lins</author>
  </authors>
  <commentList>
    <comment ref="G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Na PNS são àqueles nascentes com deficiência</t>
        </r>
      </text>
    </comment>
    <comment ref="A2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
Sidra 5719</t>
        </r>
      </text>
    </comment>
    <comment ref="D2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
Sidra 5680</t>
        </r>
      </text>
    </comment>
    <comment ref="G2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
Sidra 5650
Pessoas que nasceram com deficiência intelectual.</t>
        </r>
      </text>
    </comment>
    <comment ref="J2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
Sidra 5752</t>
        </r>
      </text>
    </comment>
    <comment ref="A3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Gabriel Lins:</t>
        </r>
        <r>
          <rPr>
            <sz val="9"/>
            <color indexed="81"/>
            <rFont val="Tahoma"/>
            <family val="2"/>
          </rPr>
          <t xml:space="preserve">
Pop retirada da pnadc.
Em milhar</t>
        </r>
      </text>
    </comment>
    <comment ref="A4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4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4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4" authorId="0" shapeId="0" xr:uid="{00000000-0006-0000-0200-00000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8" authorId="0" shapeId="0" xr:uid="{A3D0C631-BED1-4021-9840-BC2D043B1D2C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
Sidra 5719</t>
        </r>
      </text>
    </comment>
    <comment ref="D8" authorId="0" shapeId="0" xr:uid="{00000000-0006-0000-0200-00000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8" authorId="0" shapeId="0" xr:uid="{00000000-0006-0000-0200-00000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8" authorId="0" shapeId="0" xr:uid="{00000000-0006-0000-0200-00000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9" authorId="1" shapeId="0" xr:uid="{00000000-0006-0000-0200-00000F000000}">
      <text>
        <r>
          <rPr>
            <b/>
            <sz val="9"/>
            <color indexed="81"/>
            <rFont val="Tahoma"/>
            <family val="2"/>
          </rPr>
          <t>Gabriel Lins:</t>
        </r>
        <r>
          <rPr>
            <sz val="9"/>
            <color indexed="81"/>
            <rFont val="Tahoma"/>
            <family val="2"/>
          </rPr>
          <t xml:space="preserve">
Pop retirada da pnadc.
Em milhar</t>
        </r>
      </text>
    </comment>
    <comment ref="A10" authorId="0" shapeId="0" xr:uid="{00000000-0006-0000-0200-00001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0" authorId="0" shapeId="0" xr:uid="{00000000-0006-0000-0200-00001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0" authorId="0" shapeId="0" xr:uid="{00000000-0006-0000-0200-00001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0" authorId="0" shapeId="0" xr:uid="{00000000-0006-0000-0200-00001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14" authorId="0" shapeId="0" xr:uid="{1EA6909F-4771-4008-B0BB-D1B96DA20E9C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
Sidra 5719</t>
        </r>
      </text>
    </comment>
    <comment ref="D14" authorId="0" shapeId="0" xr:uid="{00000000-0006-0000-0200-00001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14" authorId="0" shapeId="0" xr:uid="{00000000-0006-0000-0200-00001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14" authorId="0" shapeId="0" xr:uid="{00000000-0006-0000-0200-00001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5" authorId="1" shapeId="0" xr:uid="{00000000-0006-0000-0200-000018000000}">
      <text>
        <r>
          <rPr>
            <b/>
            <sz val="9"/>
            <color indexed="81"/>
            <rFont val="Tahoma"/>
            <family val="2"/>
          </rPr>
          <t>Gabriel Lins:</t>
        </r>
        <r>
          <rPr>
            <sz val="9"/>
            <color indexed="81"/>
            <rFont val="Tahoma"/>
            <family val="2"/>
          </rPr>
          <t xml:space="preserve">
Pop retirada da pnadc.
Em milhar</t>
        </r>
      </text>
    </comment>
    <comment ref="A16" authorId="0" shapeId="0" xr:uid="{00000000-0006-0000-0200-00001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6" authorId="0" shapeId="0" xr:uid="{00000000-0006-0000-0200-00001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6" authorId="0" shapeId="0" xr:uid="{00000000-0006-0000-0200-00001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6" authorId="0" shapeId="0" xr:uid="{00000000-0006-0000-0200-00001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E20" authorId="0" shapeId="0" xr:uid="{00000000-0006-0000-0200-00001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Foi excluíodo notificações somente autoprovocadas.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G1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Na PNS são àqueles nascentes com deficiência</t>
        </r>
      </text>
    </comment>
    <comment ref="A2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" authorId="0" shapeId="0" xr:uid="{00000000-0006-0000-0300-00000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4" authorId="0" shapeId="0" xr:uid="{00000000-0006-0000-0300-00000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4" authorId="0" shapeId="0" xr:uid="{00000000-0006-0000-0300-00000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4" authorId="0" shapeId="0" xr:uid="{00000000-0006-0000-0300-00000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4" authorId="0" shapeId="0" xr:uid="{00000000-0006-0000-0300-00000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8" authorId="0" shapeId="0" xr:uid="{00000000-0006-0000-0300-00000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8" authorId="0" shapeId="0" xr:uid="{00000000-0006-0000-0300-00000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8" authorId="0" shapeId="0" xr:uid="{00000000-0006-0000-0300-00000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8" authorId="0" shapeId="0" xr:uid="{00000000-0006-0000-0300-00000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0" authorId="0" shapeId="0" xr:uid="{00000000-0006-0000-0300-00000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0" authorId="0" shapeId="0" xr:uid="{00000000-0006-0000-0300-00000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0" authorId="0" shapeId="0" xr:uid="{00000000-0006-0000-0300-00001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0" authorId="0" shapeId="0" xr:uid="{00000000-0006-0000-0300-00001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14" authorId="0" shapeId="0" xr:uid="{00000000-0006-0000-0300-00001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14" authorId="0" shapeId="0" xr:uid="{00000000-0006-0000-0300-00001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14" authorId="0" shapeId="0" xr:uid="{00000000-0006-0000-0300-00001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14" authorId="0" shapeId="0" xr:uid="{00000000-0006-0000-0300-00001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6" authorId="0" shapeId="0" xr:uid="{00000000-0006-0000-0300-00001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6" authorId="0" shapeId="0" xr:uid="{00000000-0006-0000-0300-00001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6" authorId="0" shapeId="0" xr:uid="{00000000-0006-0000-0300-00001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6" authorId="0" shapeId="0" xr:uid="{00000000-0006-0000-0300-00001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20" authorId="0" shapeId="0" xr:uid="{00000000-0006-0000-0300-00001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0" authorId="0" shapeId="0" xr:uid="{00000000-0006-0000-0300-00001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0" authorId="0" shapeId="0" xr:uid="{00000000-0006-0000-0300-00001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0" authorId="0" shapeId="0" xr:uid="{00000000-0006-0000-0300-00001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22" authorId="0" shapeId="0" xr:uid="{00000000-0006-0000-0300-00001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22" authorId="0" shapeId="0" xr:uid="{00000000-0006-0000-0300-00001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22" authorId="0" shapeId="0" xr:uid="{00000000-0006-0000-0300-00002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22" authorId="0" shapeId="0" xr:uid="{00000000-0006-0000-0300-00002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26" authorId="0" shapeId="0" xr:uid="{00000000-0006-0000-0300-00002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6" authorId="0" shapeId="0" xr:uid="{00000000-0006-0000-0300-00002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6" authorId="0" shapeId="0" xr:uid="{00000000-0006-0000-0300-00002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6" authorId="0" shapeId="0" xr:uid="{00000000-0006-0000-0300-00002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28" authorId="0" shapeId="0" xr:uid="{00000000-0006-0000-0300-00002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28" authorId="0" shapeId="0" xr:uid="{00000000-0006-0000-0300-00002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28" authorId="0" shapeId="0" xr:uid="{00000000-0006-0000-0300-00002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28" authorId="0" shapeId="0" xr:uid="{00000000-0006-0000-0300-00002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32" authorId="0" shapeId="0" xr:uid="{00000000-0006-0000-0300-00002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32" authorId="0" shapeId="0" xr:uid="{00000000-0006-0000-0300-00002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32" authorId="0" shapeId="0" xr:uid="{00000000-0006-0000-0300-00002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32" authorId="0" shapeId="0" xr:uid="{00000000-0006-0000-0300-00002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34" authorId="0" shapeId="0" xr:uid="{00000000-0006-0000-0300-00002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34" authorId="0" shapeId="0" xr:uid="{00000000-0006-0000-0300-00002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34" authorId="0" shapeId="0" xr:uid="{00000000-0006-0000-0300-00003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34" authorId="0" shapeId="0" xr:uid="{00000000-0006-0000-0300-00003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G1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Na PNS são àqueles nascentes com deficiência</t>
        </r>
      </text>
    </comment>
    <comment ref="A2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" authorId="0" shapeId="0" xr:uid="{00000000-0006-0000-0400-00000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4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4" authorId="0" shapeId="0" xr:uid="{00000000-0006-0000-0400-00000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4" authorId="0" shapeId="0" xr:uid="{00000000-0006-0000-0400-00000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4" authorId="0" shapeId="0" xr:uid="{00000000-0006-0000-0400-00000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8" authorId="0" shapeId="0" xr:uid="{00000000-0006-0000-0400-00000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8" authorId="0" shapeId="0" xr:uid="{00000000-0006-0000-0400-00000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8" authorId="0" shapeId="0" xr:uid="{00000000-0006-0000-0400-00000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8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0" authorId="0" shapeId="0" xr:uid="{00000000-0006-0000-0400-00000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0" authorId="0" shapeId="0" xr:uid="{00000000-0006-0000-0400-00000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0" authorId="0" shapeId="0" xr:uid="{00000000-0006-0000-0400-00001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0" authorId="0" shapeId="0" xr:uid="{00000000-0006-0000-0400-00001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1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14" authorId="0" shapeId="0" xr:uid="{00000000-0006-0000-0400-00001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14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14" authorId="0" shapeId="0" xr:uid="{00000000-0006-0000-0400-00001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6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6" authorId="0" shapeId="0" xr:uid="{00000000-0006-0000-0400-00001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6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6" authorId="0" shapeId="0" xr:uid="{00000000-0006-0000-0400-00001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20" authorId="0" shapeId="0" xr:uid="{00000000-0006-0000-0400-00001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0" authorId="0" shapeId="0" xr:uid="{00000000-0006-0000-0400-00001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0" authorId="0" shapeId="0" xr:uid="{00000000-0006-0000-0400-00001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0" authorId="0" shapeId="0" xr:uid="{00000000-0006-0000-0400-00001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22" authorId="0" shapeId="0" xr:uid="{00000000-0006-0000-0400-00001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22" authorId="0" shapeId="0" xr:uid="{00000000-0006-0000-0400-00001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22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22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26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6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6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6" authorId="0" shapeId="0" xr:uid="{00000000-0006-0000-0400-00002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28" authorId="0" shapeId="0" xr:uid="{00000000-0006-0000-0400-00002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28" authorId="0" shapeId="0" xr:uid="{00000000-0006-0000-0400-00002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28" authorId="0" shapeId="0" xr:uid="{00000000-0006-0000-0400-00002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28" authorId="0" shapeId="0" xr:uid="{00000000-0006-0000-0400-00002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32" authorId="0" shapeId="0" xr:uid="{00000000-0006-0000-0400-00002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32" authorId="0" shapeId="0" xr:uid="{00000000-0006-0000-0400-00002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32" authorId="0" shapeId="0" xr:uid="{00000000-0006-0000-0400-00002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32" authorId="0" shapeId="0" xr:uid="{00000000-0006-0000-0400-00002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34" authorId="0" shapeId="0" xr:uid="{00000000-0006-0000-0400-00002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34" authorId="0" shapeId="0" xr:uid="{00000000-0006-0000-0400-00002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34" authorId="0" shapeId="0" xr:uid="{00000000-0006-0000-0400-00003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34" authorId="0" shapeId="0" xr:uid="{00000000-0006-0000-0400-00003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G1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Na PNS são àqueles nascentes com deficiência</t>
        </r>
      </text>
    </comment>
    <comment ref="A2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2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2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2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4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4" authorId="0" shapeId="0" xr:uid="{00000000-0006-0000-0500-000007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4" authorId="0" shapeId="0" xr:uid="{00000000-0006-0000-0500-000008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4" authorId="0" shapeId="0" xr:uid="{00000000-0006-0000-0500-000009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A8" authorId="0" shapeId="0" xr:uid="{00000000-0006-0000-0500-00000A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D8" authorId="0" shapeId="0" xr:uid="{00000000-0006-0000-0500-00000B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G8" authorId="0" shapeId="0" xr:uid="{00000000-0006-0000-0500-00000C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J8" authorId="0" shapeId="0" xr:uid="{00000000-0006-0000-0500-00000D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A população sobre proporção das populações veio do arquivo 01deficiencia_xls</t>
        </r>
      </text>
    </comment>
    <comment ref="A10" authorId="0" shapeId="0" xr:uid="{00000000-0006-0000-0500-00000E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D10" authorId="0" shapeId="0" xr:uid="{00000000-0006-0000-0500-00000F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G10" authorId="0" shapeId="0" xr:uid="{00000000-0006-0000-0500-000010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  <comment ref="J10" authorId="0" shapeId="0" xr:uid="{00000000-0006-0000-0500-00001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Nº de notificações
da deficiência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H2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Foi excluíodo notificações somente autoprovocadas.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N1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Foi excluíodo notificações somente autoprovocadas.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K6" authorId="0" shapeId="0" xr:uid="{00000000-0006-0000-0C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Foi excluíodo notificações somente autoprovocadas.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O6" authorId="0" shapeId="0" xr:uid="{00000000-0006-0000-0D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Foi excluíodo notificações somente autoprovocadas.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N4" authorId="0" shapeId="0" xr:uid="{00000000-0006-0000-0E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Foi excluíodo notificações somente autoprovocadas.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K4" authorId="0" shapeId="0" xr:uid="{00000000-0006-0000-0F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Foi excluíodo notificações somente autoprovocadas.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de Oliveira Accioly Lins</author>
  </authors>
  <commentList>
    <comment ref="K1" authorId="0" shapeId="0" xr:uid="{00000000-0006-0000-1000-000001000000}">
      <text>
        <r>
          <rPr>
            <b/>
            <sz val="9"/>
            <color indexed="81"/>
            <rFont val="Segoe UI"/>
            <family val="2"/>
          </rPr>
          <t>Gabriel de Oliveira Accioly Lins:</t>
        </r>
        <r>
          <rPr>
            <sz val="9"/>
            <color indexed="81"/>
            <rFont val="Segoe UI"/>
            <family val="2"/>
          </rPr>
          <t xml:space="preserve">
Foi excluíodo notificações somente autoprovocadas.</t>
        </r>
      </text>
    </comment>
  </commentList>
</comments>
</file>

<file path=xl/sharedStrings.xml><?xml version="1.0" encoding="utf-8"?>
<sst xmlns="http://schemas.openxmlformats.org/spreadsheetml/2006/main" count="1919" uniqueCount="117">
  <si>
    <t>Total</t>
  </si>
  <si>
    <t>Auditiva</t>
  </si>
  <si>
    <t>Ratio</t>
  </si>
  <si>
    <t>PNS</t>
  </si>
  <si>
    <t>PNADc</t>
  </si>
  <si>
    <t>SINAN</t>
  </si>
  <si>
    <t>Homem</t>
  </si>
  <si>
    <t>Mulher</t>
  </si>
  <si>
    <t>Física</t>
  </si>
  <si>
    <t>Intelectual 1</t>
  </si>
  <si>
    <t>Visual</t>
  </si>
  <si>
    <t>PcD Visual</t>
  </si>
  <si>
    <t>PcD Física</t>
  </si>
  <si>
    <t>PcD Auditiva</t>
  </si>
  <si>
    <t>0 a 9</t>
  </si>
  <si>
    <t>10 a 17</t>
  </si>
  <si>
    <t>18 a 29</t>
  </si>
  <si>
    <t>30 a 39</t>
  </si>
  <si>
    <t>40 a 59</t>
  </si>
  <si>
    <t>60 ou mais</t>
  </si>
  <si>
    <t xml:space="preserve"> </t>
  </si>
  <si>
    <t>Branco</t>
  </si>
  <si>
    <t>Negro</t>
  </si>
  <si>
    <t>Pop total</t>
  </si>
  <si>
    <t>Doméstica</t>
  </si>
  <si>
    <t>Misto</t>
  </si>
  <si>
    <t>Intelectual</t>
  </si>
  <si>
    <t>Múltipla</t>
  </si>
  <si>
    <t>Tipo de deficiência</t>
  </si>
  <si>
    <t>%</t>
  </si>
  <si>
    <t>núm</t>
  </si>
  <si>
    <t>Autoprovocada</t>
  </si>
  <si>
    <t>Comunitária</t>
  </si>
  <si>
    <t>Institucional</t>
  </si>
  <si>
    <t>Misto*</t>
  </si>
  <si>
    <t xml:space="preserve">Mulheres e Homens
Grupo de Contexto/Autoria
</t>
  </si>
  <si>
    <t xml:space="preserve">Mulheres
Grupo de Contexto/Autoria
</t>
  </si>
  <si>
    <t>Mulheres</t>
  </si>
  <si>
    <t>HOMEM</t>
  </si>
  <si>
    <t xml:space="preserve">Homens
Grupo de Contexto/Autoria
</t>
  </si>
  <si>
    <t>Outro</t>
  </si>
  <si>
    <t>V.Física</t>
  </si>
  <si>
    <t>Negligêcia</t>
  </si>
  <si>
    <t>V. Sexual</t>
  </si>
  <si>
    <t>V. Psico</t>
  </si>
  <si>
    <t>Homens</t>
  </si>
  <si>
    <t>10 a 19</t>
  </si>
  <si>
    <t>40 a 49</t>
  </si>
  <si>
    <t>50 a 59</t>
  </si>
  <si>
    <t>60 a 69</t>
  </si>
  <si>
    <t>20 a 29</t>
  </si>
  <si>
    <t>70 a 79</t>
  </si>
  <si>
    <t>80 ou mais</t>
  </si>
  <si>
    <t>Grupo de Violência</t>
  </si>
  <si>
    <t xml:space="preserve">Mulheres e Homens
Faixa etária
</t>
  </si>
  <si>
    <t xml:space="preserve">Mulheres
Faixa etária
</t>
  </si>
  <si>
    <t xml:space="preserve">Homens
Faixa etária
</t>
  </si>
  <si>
    <t>Negligência</t>
  </si>
  <si>
    <t>V. Física</t>
  </si>
  <si>
    <t>PcD Intelectual (1)</t>
  </si>
  <si>
    <t>Alterei a ordem das variáveis</t>
  </si>
  <si>
    <t>Taxa para idosos é mais alta, 153,1</t>
  </si>
  <si>
    <t xml:space="preserve">Grupo de Contexo / Autoria </t>
  </si>
  <si>
    <t>Esta é a variável "natureza da violência" individualizada. Precisamos decidir se usaremos esta tabela ou aquela com as somas maiores que 100% das notificações</t>
  </si>
  <si>
    <t xml:space="preserve">Podemos usar este gráfico junto com o texto </t>
  </si>
  <si>
    <t>Faixa etária</t>
  </si>
  <si>
    <t>80 ou +</t>
  </si>
  <si>
    <t>Outros2</t>
  </si>
  <si>
    <t>Neglig./aband.</t>
  </si>
  <si>
    <t>V.  Física</t>
  </si>
  <si>
    <t>V. sexual</t>
  </si>
  <si>
    <r>
      <t>V. Psicológica</t>
    </r>
    <r>
      <rPr>
        <vertAlign val="superscript"/>
        <sz val="11"/>
        <color theme="1"/>
        <rFont val="Calibri"/>
        <family val="2"/>
        <scheme val="minor"/>
      </rPr>
      <t>1</t>
    </r>
  </si>
  <si>
    <t>Total de notificações</t>
  </si>
  <si>
    <t xml:space="preserve">Mulheres e Homens
Tipo de violência
</t>
  </si>
  <si>
    <t xml:space="preserve">Mulheres
Tipo de violência
</t>
  </si>
  <si>
    <t xml:space="preserve">Homens
Tipo de violência
</t>
  </si>
  <si>
    <t>V. Psicológica1</t>
  </si>
  <si>
    <t>Tipo de violência</t>
  </si>
  <si>
    <t>Total de violências</t>
  </si>
  <si>
    <t>Violência não está individualizada</t>
  </si>
  <si>
    <t>Def Total</t>
  </si>
  <si>
    <t>Def Homem</t>
  </si>
  <si>
    <t>Def Mulher</t>
  </si>
  <si>
    <t>Contém violência autoprovocada</t>
  </si>
  <si>
    <t>Sem violência autoprovocada</t>
  </si>
  <si>
    <t>Notificações</t>
  </si>
  <si>
    <t>Neglig/aband</t>
  </si>
  <si>
    <r>
      <t>V. Psicol</t>
    </r>
    <r>
      <rPr>
        <vertAlign val="superscript"/>
        <sz val="11"/>
        <color theme="1"/>
        <rFont val="Calibri"/>
        <family val="2"/>
        <scheme val="minor"/>
      </rPr>
      <t>1</t>
    </r>
  </si>
  <si>
    <t>Violências</t>
  </si>
  <si>
    <t>V. Psicol1</t>
  </si>
  <si>
    <t>Casos3</t>
  </si>
  <si>
    <t>Municípios atendidos</t>
  </si>
  <si>
    <t xml:space="preserve">Obs: 1 Não inclui as violências registradas em que o autor presumido é a própria vítima. 2 Se um indivíduo tiver mais de uma deficiência, ele será contado em todas elas, seja na notificação da violência, seja na população. </t>
  </si>
  <si>
    <t>Obs: 1 A categoria misto/outros inclui mais de um grupo de violência.</t>
  </si>
  <si>
    <t>Obs: 1 Inclui violência patrimonial. 2 Inclui tortura, tráfico de seres humanos, trabalho infantil, intervenção legal e outros</t>
  </si>
  <si>
    <t xml:space="preserve">Obs2: Uma notificação pode incluir o registro de mais de uma categoria de “natureza da violência”. </t>
  </si>
  <si>
    <t>Obs: 1 Inclui violência patrimonial. 2 Inclui tortura, tráfico de seres humanos, trabalho infantil, intervenção legal e outro</t>
  </si>
  <si>
    <t xml:space="preserve">OBs2: Uma notificação pode registrar mais de uma categoria de ‘natureza da violência”. </t>
  </si>
  <si>
    <t>* A categoria misto/outros Iinclui mais de um grupo de violência.</t>
  </si>
  <si>
    <t>Obs: 1 Inclui violência patrimonial. 2 Inclui tortura, tráfico de seres humanos, trabalho infantil, intervenção legal e outros. 3. As proporções por tipo de violência foram feitas sobre o número de casos notificados. Como um caso pode ter registrado mais de um tipo de violência, a soma das porcentagens dos tipos de violência pode ultrapassar 100%.</t>
  </si>
  <si>
    <t>Unidades de Saúde</t>
  </si>
  <si>
    <t>Valores únicos</t>
  </si>
  <si>
    <t>Missing</t>
  </si>
  <si>
    <t>Trans. Mental</t>
  </si>
  <si>
    <t>Definições de violências selecionadas no Sinan</t>
  </si>
  <si>
    <t>Tipo de Violência</t>
  </si>
  <si>
    <t>Definição</t>
  </si>
  <si>
    <t>Psicológica</t>
  </si>
  <si>
    <t>Sexual</t>
  </si>
  <si>
    <t>Negligência/Abandono</t>
  </si>
  <si>
    <t>Patrimonial</t>
  </si>
  <si>
    <t>Atos violentos, nos quais se fez uso da força física de forma intencional, não acidental, com o objetivo de ferir, lesar, provocar dor e sofrimento ou destruir a pessoa, deixando, ou não, marcas evidentes no seu corpo. Ela pode manifestar-se de várias formas, como tapas, beliscões, chutes, torções, empurrões, arremesso de objetos, estrangulamentos, queimaduras, perfurações, mutilações, entre outras.</t>
  </si>
  <si>
    <t>Toda forma de rejeição, depreciação, discriminação, desrespeito, cobrança exagerada, punições humilhantes e utilização da pessoa para atender às necessidades psíquicas de outrem. É toda ação que coloque em risco ou cause dano à autoestima, à identidade ou ao desenvolvimento da pessoa. (...).O bullying é outro exemplo de violência psicológica, que se manifesta em ambientes escolares ou outros meios, como o cyberbullying.</t>
  </si>
  <si>
    <t>Qualquer ação na qual uma pessoa, valendo-se de sua posição de poder e fazendo uso de força física, coerção, intimidação ou influência psicológica, com uso ou não de armas ou drogas, obriga outra pessoa, de qualquer sexo e idade, a ter, presenciar ou participar de alguma maneira de interações sexuais, ou a utilizar, de qualquer modo, a sua sexualidade, com fins de lucro, vingança ou outra intenção. Incluem-se como violência sexual situações de estupro, abuso incestuoso, assédio sexual, sexo forçado no casamento, jogos sexuais e práticas eróticas não consentidas, impostas, pornografia infantil, pedofilia, voyeurismo; manuseio, penetração oral, anal ou genital, com pênis ou objetos, de forma forçada. Inclui, também, exposição coercitiva/constrangedora a atos libidinosos, exibicionismo, masturbação, linguagem erótica, interações sexuais de qualquer tipo e material pornográfico. Igualmente, caracterizam a violência sexual os atos que, mediante coerção, chantagem, suborno ou aliciamento, impeçam o uso de qualquer método contraceptivo ou forcem ao matrimônio, à gravidez, ao aborto, à prostituição; ou que limitem ou anulem em qualquer pessoa a autonomia e o exercício de seus direitos sexuais e reprodutivos. A violência sexual é crime, mesmo se exercida por um familiar, seja ele pai, mãe, padrasto, madrasta, companheiro(a), esposo(a).</t>
  </si>
  <si>
    <t>Omissão pela qual se deixou de prover as necessidades e os cuidados básicos para o desenvolvimento físico, emocional e social da pessoa atendida/vítima. Ex.: privação de medicamentos; falta de cuidados necessários com a saúde; descuido com a higiene; ausência de proteção contra as inclemências do meio, como o frio e o calor; ausência de estímulo e de condições para a frequência à escola. O abandono é uma forma extrema de negligência.</t>
  </si>
  <si>
    <t>Ato de violência que implica dano, perda, subtração, destruição ou retenção de objetos, documentos pessoais, instrumentos de trabalho, bens e valores da pessoa atendida/vítima. Consiste na exploração imprópria ou ilegal, ou no uso não consentido de seus recursos financeiros e patrimoniais. Ocorre, sobretudo, no âmbito familiar, sendo mais frequente contra pessoas idosas, mulheres e deficientes.</t>
  </si>
  <si>
    <t>Fonte: Sinan/MS. Elaboração Diest/Ipea e FBSP. Notas: 1- Não inclui as violências registradas em que o autor presumido é a própria vítima. 2- Se um indivíduo tiver mais de uma deficiência, ele será contado em todas elas, seja na notificação da violência, seja na população. 3- Microdados do Sinan referentes a 2023 são preliminares e foram coletados em fevereiro de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</si>
</sst>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00_-;\-* #,##0.0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b/>
      <sz val="7"/>
      <name val="Univers"/>
      <family val="2"/>
    </font>
    <font>
      <vertAlign val="superscript"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8"/>
      <name val="Calibri"/>
      <family val="2"/>
      <scheme val="minor"/>
    </font>
    <font>
      <sz val="11"/>
      <color theme="1"/>
      <name val="Times New Roman"/>
      <family val="1"/>
    </font>
    <font>
      <sz val="4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2" fillId="0" borderId="0" xfId="0" applyFont="1"/>
    <xf numFmtId="0" fontId="2" fillId="2" borderId="0" xfId="0" applyFont="1" applyFill="1"/>
    <xf numFmtId="0" fontId="0" fillId="2" borderId="1" xfId="0" applyFill="1" applyBorder="1"/>
    <xf numFmtId="165" fontId="0" fillId="2" borderId="1" xfId="0" applyNumberFormat="1" applyFill="1" applyBorder="1"/>
    <xf numFmtId="0" fontId="0" fillId="2" borderId="2" xfId="0" applyFill="1" applyBorder="1"/>
    <xf numFmtId="165" fontId="0" fillId="2" borderId="2" xfId="0" applyNumberFormat="1" applyFill="1" applyBorder="1"/>
    <xf numFmtId="0" fontId="0" fillId="2" borderId="3" xfId="0" applyFill="1" applyBorder="1"/>
    <xf numFmtId="165" fontId="0" fillId="2" borderId="3" xfId="0" applyNumberFormat="1" applyFill="1" applyBorder="1"/>
    <xf numFmtId="165" fontId="0" fillId="2" borderId="4" xfId="0" applyNumberFormat="1" applyFill="1" applyBorder="1"/>
    <xf numFmtId="1" fontId="6" fillId="0" borderId="0" xfId="2" applyNumberFormat="1" applyFont="1" applyAlignment="1">
      <alignment horizontal="right" wrapText="1"/>
    </xf>
    <xf numFmtId="166" fontId="0" fillId="0" borderId="0" xfId="0" applyNumberFormat="1"/>
    <xf numFmtId="0" fontId="0" fillId="2" borderId="0" xfId="0" applyFill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" fontId="0" fillId="2" borderId="3" xfId="0" applyNumberFormat="1" applyFill="1" applyBorder="1"/>
    <xf numFmtId="0" fontId="0" fillId="2" borderId="2" xfId="0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165" fontId="0" fillId="2" borderId="5" xfId="0" applyNumberFormat="1" applyFill="1" applyBorder="1"/>
    <xf numFmtId="0" fontId="0" fillId="3" borderId="0" xfId="0" applyFill="1"/>
    <xf numFmtId="0" fontId="0" fillId="3" borderId="4" xfId="0" applyFill="1" applyBorder="1"/>
    <xf numFmtId="165" fontId="0" fillId="3" borderId="0" xfId="0" applyNumberFormat="1" applyFill="1"/>
    <xf numFmtId="0" fontId="0" fillId="2" borderId="0" xfId="0" applyFill="1" applyAlignment="1">
      <alignment vertical="center" wrapText="1"/>
    </xf>
    <xf numFmtId="0" fontId="0" fillId="3" borderId="2" xfId="0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vertical="center"/>
    </xf>
    <xf numFmtId="165" fontId="0" fillId="2" borderId="2" xfId="0" applyNumberFormat="1" applyFill="1" applyBorder="1" applyAlignment="1">
      <alignment horizontal="center" vertical="center"/>
    </xf>
    <xf numFmtId="165" fontId="0" fillId="2" borderId="3" xfId="1" applyNumberFormat="1" applyFont="1" applyFill="1" applyBorder="1" applyAlignment="1">
      <alignment horizontal="center"/>
    </xf>
    <xf numFmtId="1" fontId="0" fillId="2" borderId="1" xfId="1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 vertical="center"/>
    </xf>
    <xf numFmtId="1" fontId="0" fillId="2" borderId="3" xfId="1" applyNumberFormat="1" applyFont="1" applyFill="1" applyBorder="1" applyAlignment="1">
      <alignment horizontal="center"/>
    </xf>
    <xf numFmtId="1" fontId="0" fillId="2" borderId="1" xfId="1" applyNumberFormat="1" applyFont="1" applyFill="1" applyBorder="1" applyAlignment="1">
      <alignment horizontal="center" vertical="center"/>
    </xf>
    <xf numFmtId="1" fontId="0" fillId="2" borderId="3" xfId="1" applyNumberFormat="1" applyFon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/>
    </xf>
    <xf numFmtId="165" fontId="0" fillId="2" borderId="5" xfId="1" applyNumberFormat="1" applyFont="1" applyFill="1" applyBorder="1" applyAlignment="1">
      <alignment horizontal="center"/>
    </xf>
    <xf numFmtId="165" fontId="0" fillId="2" borderId="2" xfId="1" applyNumberFormat="1" applyFont="1" applyFill="1" applyBorder="1" applyAlignment="1">
      <alignment horizontal="center"/>
    </xf>
    <xf numFmtId="1" fontId="0" fillId="2" borderId="5" xfId="1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1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/>
    </xf>
    <xf numFmtId="0" fontId="0" fillId="0" borderId="5" xfId="0" applyBorder="1" applyAlignment="1">
      <alignment horizontal="center"/>
    </xf>
    <xf numFmtId="10" fontId="0" fillId="0" borderId="0" xfId="3" applyNumberFormat="1" applyFont="1"/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11" fillId="0" borderId="0" xfId="0" applyFont="1"/>
    <xf numFmtId="165" fontId="12" fillId="2" borderId="3" xfId="0" applyNumberFormat="1" applyFont="1" applyFill="1" applyBorder="1"/>
    <xf numFmtId="2" fontId="0" fillId="0" borderId="0" xfId="0" applyNumberFormat="1"/>
    <xf numFmtId="165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3" fontId="0" fillId="0" borderId="0" xfId="0" applyNumberFormat="1"/>
    <xf numFmtId="0" fontId="15" fillId="0" borderId="0" xfId="0" applyFont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6" fillId="2" borderId="2" xfId="0" applyFont="1" applyFill="1" applyBorder="1" applyAlignment="1">
      <alignment horizontal="center"/>
    </xf>
    <xf numFmtId="0" fontId="16" fillId="2" borderId="4" xfId="0" applyFont="1" applyFill="1" applyBorder="1" applyAlignment="1">
      <alignment vertical="center"/>
    </xf>
    <xf numFmtId="0" fontId="16" fillId="2" borderId="4" xfId="0" applyFont="1" applyFill="1" applyBorder="1" applyAlignment="1">
      <alignment horizontal="left" wrapText="1"/>
    </xf>
    <xf numFmtId="0" fontId="16" fillId="2" borderId="3" xfId="0" applyFont="1" applyFill="1" applyBorder="1" applyAlignment="1">
      <alignment vertical="center"/>
    </xf>
    <xf numFmtId="0" fontId="16" fillId="2" borderId="3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vertical="center"/>
    </xf>
    <xf numFmtId="0" fontId="16" fillId="2" borderId="5" xfId="0" applyFont="1" applyFill="1" applyBorder="1" applyAlignment="1">
      <alignment horizontal="left" vertical="top" wrapText="1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top" wrapText="1"/>
    </xf>
    <xf numFmtId="0" fontId="17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/>
    </xf>
    <xf numFmtId="165" fontId="0" fillId="2" borderId="0" xfId="0" applyNumberFormat="1" applyFill="1"/>
  </cellXfs>
  <cellStyles count="4">
    <cellStyle name="Normal" xfId="0" builtinId="0"/>
    <cellStyle name="Normal 2" xfId="2" xr:uid="{00000000-0005-0000-0000-000001000000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304203777806464E-2"/>
          <c:y val="4.384653023919742E-2"/>
          <c:w val="0.92238229480574185"/>
          <c:h val="0.8871225813080433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sexo2019auto!$N$1</c:f>
              <c:strCache>
                <c:ptCount val="1"/>
                <c:pt idx="0">
                  <c:v>PcD Intelectual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sexo2019auto!$M$2:$M$4</c:f>
              <c:strCache>
                <c:ptCount val="3"/>
                <c:pt idx="0">
                  <c:v>Mulher</c:v>
                </c:pt>
                <c:pt idx="1">
                  <c:v>Homem</c:v>
                </c:pt>
                <c:pt idx="2">
                  <c:v>Total</c:v>
                </c:pt>
              </c:strCache>
            </c:strRef>
          </c:cat>
          <c:val>
            <c:numRef>
              <c:f>sexo2019auto!$N$2:$N$4</c:f>
              <c:numCache>
                <c:formatCode>0.0</c:formatCode>
                <c:ptCount val="3"/>
                <c:pt idx="0">
                  <c:v>88.42680980972672</c:v>
                </c:pt>
                <c:pt idx="1">
                  <c:v>34.19936548139647</c:v>
                </c:pt>
                <c:pt idx="2">
                  <c:v>56.411578264024129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9-446C-A059-15E3BF8EE82D}"/>
            </c:ext>
          </c:extLst>
        </c:ser>
        <c:ser>
          <c:idx val="1"/>
          <c:order val="1"/>
          <c:tx>
            <c:strRef>
              <c:f>sexo2019auto!$O$1</c:f>
              <c:strCache>
                <c:ptCount val="1"/>
                <c:pt idx="0">
                  <c:v>PcD Física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sexo2019auto!$M$2:$M$4</c:f>
              <c:strCache>
                <c:ptCount val="3"/>
                <c:pt idx="0">
                  <c:v>Mulher</c:v>
                </c:pt>
                <c:pt idx="1">
                  <c:v>Homem</c:v>
                </c:pt>
                <c:pt idx="2">
                  <c:v>Total</c:v>
                </c:pt>
              </c:strCache>
            </c:strRef>
          </c:cat>
          <c:val>
            <c:numRef>
              <c:f>sexo2019auto!$O$2:$O$4</c:f>
              <c:numCache>
                <c:formatCode>0.0</c:formatCode>
                <c:ptCount val="3"/>
                <c:pt idx="0">
                  <c:v>20.586038017763755</c:v>
                </c:pt>
                <c:pt idx="1">
                  <c:v>8.8734491560638737</c:v>
                </c:pt>
                <c:pt idx="2">
                  <c:v>13.464549350676053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9-446C-A059-15E3BF8EE82D}"/>
            </c:ext>
          </c:extLst>
        </c:ser>
        <c:ser>
          <c:idx val="0"/>
          <c:order val="2"/>
          <c:tx>
            <c:strRef>
              <c:f>sexo2019auto!$P$1</c:f>
              <c:strCache>
                <c:ptCount val="1"/>
                <c:pt idx="0">
                  <c:v>PcD Auditiva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sexo2019auto!$M$2:$M$4</c:f>
              <c:strCache>
                <c:ptCount val="3"/>
                <c:pt idx="0">
                  <c:v>Mulher</c:v>
                </c:pt>
                <c:pt idx="1">
                  <c:v>Homem</c:v>
                </c:pt>
                <c:pt idx="2">
                  <c:v>Total</c:v>
                </c:pt>
              </c:strCache>
            </c:strRef>
          </c:cat>
          <c:val>
            <c:numRef>
              <c:f>sexo2019auto!$P$2:$P$4</c:f>
              <c:numCache>
                <c:formatCode>0.0</c:formatCode>
                <c:ptCount val="3"/>
                <c:pt idx="0">
                  <c:v>6.1333849828910836</c:v>
                </c:pt>
                <c:pt idx="1">
                  <c:v>2.9104088753454564</c:v>
                </c:pt>
                <c:pt idx="2">
                  <c:v>4.4175284752670478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9-446C-A059-15E3BF8EE82D}"/>
            </c:ext>
          </c:extLst>
        </c:ser>
        <c:ser>
          <c:idx val="3"/>
          <c:order val="3"/>
          <c:tx>
            <c:strRef>
              <c:f>sexo2019auto!$Q$1</c:f>
              <c:strCache>
                <c:ptCount val="1"/>
                <c:pt idx="0">
                  <c:v>PcD Visual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sexo2019auto!$M$2:$M$4</c:f>
              <c:strCache>
                <c:ptCount val="3"/>
                <c:pt idx="0">
                  <c:v>Mulher</c:v>
                </c:pt>
                <c:pt idx="1">
                  <c:v>Homem</c:v>
                </c:pt>
                <c:pt idx="2">
                  <c:v>Total</c:v>
                </c:pt>
              </c:strCache>
            </c:strRef>
          </c:cat>
          <c:val>
            <c:numRef>
              <c:f>sexo2019auto!$Q$2:$Q$4</c:f>
              <c:numCache>
                <c:formatCode>0.0</c:formatCode>
                <c:ptCount val="3"/>
                <c:pt idx="0">
                  <c:v>1.9084795377648369</c:v>
                </c:pt>
                <c:pt idx="1">
                  <c:v>1.5230365270929611</c:v>
                </c:pt>
                <c:pt idx="2">
                  <c:v>1.7436026357437742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9-446C-A059-15E3BF8EE8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810640"/>
        <c:axId val="671813904"/>
      </c:barChart>
      <c:catAx>
        <c:axId val="67181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3904"/>
        <c:crosses val="autoZero"/>
        <c:auto val="1"/>
        <c:lblAlgn val="ctr"/>
        <c:lblOffset val="100"/>
        <c:noMultiLvlLbl val="0"/>
      </c:catAx>
      <c:valAx>
        <c:axId val="6718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91027510450084"/>
          <c:y val="4.4038913525200861E-2"/>
          <c:w val="0.70570250849791327"/>
          <c:h val="8.3209227042480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753470079562944E-2"/>
          <c:y val="4.3846562121886881E-2"/>
          <c:w val="0.92238229480574185"/>
          <c:h val="0.8871225813080433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sexo!$N$1</c:f>
              <c:strCache>
                <c:ptCount val="1"/>
                <c:pt idx="0">
                  <c:v>PcD Intelectual (1)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sexo!$M$2:$M$4</c:f>
              <c:strCache>
                <c:ptCount val="3"/>
                <c:pt idx="0">
                  <c:v>Mulher</c:v>
                </c:pt>
                <c:pt idx="1">
                  <c:v>Homem</c:v>
                </c:pt>
                <c:pt idx="2">
                  <c:v>Total</c:v>
                </c:pt>
              </c:strCache>
            </c:strRef>
          </c:cat>
          <c:val>
            <c:numRef>
              <c:f>sexo!$N$2:$N$4</c:f>
              <c:numCache>
                <c:formatCode>0.0</c:formatCode>
                <c:ptCount val="3"/>
                <c:pt idx="0">
                  <c:v>75.48478966749505</c:v>
                </c:pt>
                <c:pt idx="1">
                  <c:v>28.920023794155245</c:v>
                </c:pt>
                <c:pt idx="2">
                  <c:v>47.838146213857016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9-446C-A059-15E3BF8EE82D}"/>
            </c:ext>
          </c:extLst>
        </c:ser>
        <c:ser>
          <c:idx val="1"/>
          <c:order val="1"/>
          <c:tx>
            <c:strRef>
              <c:f>sexo!$O$1</c:f>
              <c:strCache>
                <c:ptCount val="1"/>
                <c:pt idx="0">
                  <c:v>PcD Física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sexo!$M$2:$M$4</c:f>
              <c:strCache>
                <c:ptCount val="3"/>
                <c:pt idx="0">
                  <c:v>Mulher</c:v>
                </c:pt>
                <c:pt idx="1">
                  <c:v>Homem</c:v>
                </c:pt>
                <c:pt idx="2">
                  <c:v>Total</c:v>
                </c:pt>
              </c:strCache>
            </c:strRef>
          </c:cat>
          <c:val>
            <c:numRef>
              <c:f>sexo!$O$2:$O$4</c:f>
              <c:numCache>
                <c:formatCode>0.0</c:formatCode>
                <c:ptCount val="3"/>
                <c:pt idx="0">
                  <c:v>24.86077602626662</c:v>
                </c:pt>
                <c:pt idx="1">
                  <c:v>10.293266127501235</c:v>
                </c:pt>
                <c:pt idx="2">
                  <c:v>15.969596400204651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9-446C-A059-15E3BF8EE82D}"/>
            </c:ext>
          </c:extLst>
        </c:ser>
        <c:ser>
          <c:idx val="0"/>
          <c:order val="2"/>
          <c:tx>
            <c:strRef>
              <c:f>sexo!$P$1</c:f>
              <c:strCache>
                <c:ptCount val="1"/>
                <c:pt idx="0">
                  <c:v>PcD Auditiva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sexo!$M$2:$M$4</c:f>
              <c:strCache>
                <c:ptCount val="3"/>
                <c:pt idx="0">
                  <c:v>Mulher</c:v>
                </c:pt>
                <c:pt idx="1">
                  <c:v>Homem</c:v>
                </c:pt>
                <c:pt idx="2">
                  <c:v>Total</c:v>
                </c:pt>
              </c:strCache>
            </c:strRef>
          </c:cat>
          <c:val>
            <c:numRef>
              <c:f>sexo!$P$2:$P$4</c:f>
              <c:numCache>
                <c:formatCode>0.0</c:formatCode>
                <c:ptCount val="3"/>
                <c:pt idx="0">
                  <c:v>7.4555118181653279</c:v>
                </c:pt>
                <c:pt idx="1">
                  <c:v>3.2669501714951084</c:v>
                </c:pt>
                <c:pt idx="2">
                  <c:v>5.2074065765961013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9-446C-A059-15E3BF8EE82D}"/>
            </c:ext>
          </c:extLst>
        </c:ser>
        <c:ser>
          <c:idx val="3"/>
          <c:order val="3"/>
          <c:tx>
            <c:strRef>
              <c:f>sexo!$Q$1</c:f>
              <c:strCache>
                <c:ptCount val="1"/>
                <c:pt idx="0">
                  <c:v>PcD Visual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sexo!$M$2:$M$4</c:f>
              <c:strCache>
                <c:ptCount val="3"/>
                <c:pt idx="0">
                  <c:v>Mulher</c:v>
                </c:pt>
                <c:pt idx="1">
                  <c:v>Homem</c:v>
                </c:pt>
                <c:pt idx="2">
                  <c:v>Total</c:v>
                </c:pt>
              </c:strCache>
            </c:strRef>
          </c:cat>
          <c:val>
            <c:numRef>
              <c:f>sexo!$Q$2:$Q$4</c:f>
              <c:numCache>
                <c:formatCode>0.0</c:formatCode>
                <c:ptCount val="3"/>
                <c:pt idx="0">
                  <c:v>2.19074556513561</c:v>
                </c:pt>
                <c:pt idx="1">
                  <c:v>1.4900111722073219</c:v>
                </c:pt>
                <c:pt idx="2">
                  <c:v>1.8810380031518981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9-446C-A059-15E3BF8EE8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1811728"/>
        <c:axId val="671813360"/>
      </c:barChart>
      <c:catAx>
        <c:axId val="67181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3360"/>
        <c:crosses val="autoZero"/>
        <c:auto val="1"/>
        <c:lblAlgn val="ctr"/>
        <c:lblOffset val="100"/>
        <c:noMultiLvlLbl val="0"/>
      </c:catAx>
      <c:valAx>
        <c:axId val="67181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891027510450084"/>
          <c:y val="4.4038913525200861E-2"/>
          <c:w val="0.70570250849791327"/>
          <c:h val="8.3209227042480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9458549090756E-2"/>
          <c:y val="4.3912175648702596E-2"/>
          <c:w val="0.91647815928329934"/>
          <c:h val="0.8719625316296542"/>
        </c:manualLayout>
      </c:layout>
      <c:lineChart>
        <c:grouping val="standard"/>
        <c:varyColors val="0"/>
        <c:ser>
          <c:idx val="0"/>
          <c:order val="0"/>
          <c:tx>
            <c:strRef>
              <c:f>'Fext - 2019'!$M$4</c:f>
              <c:strCache>
                <c:ptCount val="1"/>
                <c:pt idx="0">
                  <c:v>PcD Auditiva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'Fext - 2019'!$N$1:$S$1</c:f>
              <c:strCache>
                <c:ptCount val="6"/>
                <c:pt idx="0">
                  <c:v>0 a 9</c:v>
                </c:pt>
                <c:pt idx="1">
                  <c:v>10 a 17</c:v>
                </c:pt>
                <c:pt idx="2">
                  <c:v>18 a 29</c:v>
                </c:pt>
                <c:pt idx="3">
                  <c:v>30 a 39</c:v>
                </c:pt>
                <c:pt idx="4">
                  <c:v>40 a 59</c:v>
                </c:pt>
                <c:pt idx="5">
                  <c:v>60 ou mais</c:v>
                </c:pt>
              </c:strCache>
            </c:strRef>
          </c:cat>
          <c:val>
            <c:numRef>
              <c:f>'Fext - 2019'!$N$4:$S$4</c:f>
              <c:numCache>
                <c:formatCode>0.0</c:formatCode>
                <c:ptCount val="6"/>
                <c:pt idx="0">
                  <c:v>16.755408273448264</c:v>
                </c:pt>
                <c:pt idx="1">
                  <c:v>17.268992409999303</c:v>
                </c:pt>
                <c:pt idx="2">
                  <c:v>17.433567541866978</c:v>
                </c:pt>
                <c:pt idx="3">
                  <c:v>11.641619545825648</c:v>
                </c:pt>
                <c:pt idx="4">
                  <c:v>3.6600688311451828</c:v>
                </c:pt>
                <c:pt idx="5">
                  <c:v>1.720586169764502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1-4A8B-9624-CEAD7B882EF4}"/>
            </c:ext>
          </c:extLst>
        </c:ser>
        <c:ser>
          <c:idx val="1"/>
          <c:order val="1"/>
          <c:tx>
            <c:strRef>
              <c:f>'Fext - 2019'!$M$3</c:f>
              <c:strCache>
                <c:ptCount val="1"/>
                <c:pt idx="0">
                  <c:v>PcD Física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'Fext - 2019'!$N$1:$S$1</c:f>
              <c:strCache>
                <c:ptCount val="6"/>
                <c:pt idx="0">
                  <c:v>0 a 9</c:v>
                </c:pt>
                <c:pt idx="1">
                  <c:v>10 a 17</c:v>
                </c:pt>
                <c:pt idx="2">
                  <c:v>18 a 29</c:v>
                </c:pt>
                <c:pt idx="3">
                  <c:v>30 a 39</c:v>
                </c:pt>
                <c:pt idx="4">
                  <c:v>40 a 59</c:v>
                </c:pt>
                <c:pt idx="5">
                  <c:v>60 ou mais</c:v>
                </c:pt>
              </c:strCache>
            </c:strRef>
          </c:cat>
          <c:val>
            <c:numRef>
              <c:f>'Fext - 2019'!$N$3:$S$3</c:f>
              <c:numCache>
                <c:formatCode>0.0</c:formatCode>
                <c:ptCount val="6"/>
                <c:pt idx="0">
                  <c:v>20.553300815429871</c:v>
                </c:pt>
                <c:pt idx="1">
                  <c:v>31.585544182160021</c:v>
                </c:pt>
                <c:pt idx="2">
                  <c:v>24.213288252593021</c:v>
                </c:pt>
                <c:pt idx="3">
                  <c:v>15.118986423150194</c:v>
                </c:pt>
                <c:pt idx="4">
                  <c:v>7.9162525648754141</c:v>
                </c:pt>
                <c:pt idx="5">
                  <c:v>10.429923089691805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21-4A8B-9624-CEAD7B882EF4}"/>
            </c:ext>
          </c:extLst>
        </c:ser>
        <c:ser>
          <c:idx val="2"/>
          <c:order val="2"/>
          <c:tx>
            <c:strRef>
              <c:f>'Fext - 2019'!$M$2</c:f>
              <c:strCache>
                <c:ptCount val="1"/>
                <c:pt idx="0">
                  <c:v>PcD Intelectual (1)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'Fext - 2019'!$N$1:$S$1</c:f>
              <c:strCache>
                <c:ptCount val="6"/>
                <c:pt idx="0">
                  <c:v>0 a 9</c:v>
                </c:pt>
                <c:pt idx="1">
                  <c:v>10 a 17</c:v>
                </c:pt>
                <c:pt idx="2">
                  <c:v>18 a 29</c:v>
                </c:pt>
                <c:pt idx="3">
                  <c:v>30 a 39</c:v>
                </c:pt>
                <c:pt idx="4">
                  <c:v>40 a 59</c:v>
                </c:pt>
                <c:pt idx="5">
                  <c:v>60 ou mais</c:v>
                </c:pt>
              </c:strCache>
            </c:strRef>
          </c:cat>
          <c:val>
            <c:numRef>
              <c:f>'Fext - 2019'!$N$2:$S$2</c:f>
              <c:numCache>
                <c:formatCode>0.0</c:formatCode>
                <c:ptCount val="6"/>
                <c:pt idx="0">
                  <c:v>28.173908726464859</c:v>
                </c:pt>
                <c:pt idx="1">
                  <c:v>68.571130144140369</c:v>
                </c:pt>
                <c:pt idx="2">
                  <c:v>65.023684998327084</c:v>
                </c:pt>
                <c:pt idx="3">
                  <c:v>47.624807232923104</c:v>
                </c:pt>
                <c:pt idx="4">
                  <c:v>55.03760219968315</c:v>
                </c:pt>
                <c:pt idx="5">
                  <c:v>153.07364576993305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21-4A8B-9624-CEAD7B882EF4}"/>
            </c:ext>
          </c:extLst>
        </c:ser>
        <c:ser>
          <c:idx val="3"/>
          <c:order val="3"/>
          <c:tx>
            <c:strRef>
              <c:f>'Fext - 2019'!$M$5</c:f>
              <c:strCache>
                <c:ptCount val="1"/>
                <c:pt idx="0">
                  <c:v>PcD Visual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'Fext - 2019'!$N$1:$S$1</c:f>
              <c:strCache>
                <c:ptCount val="6"/>
                <c:pt idx="0">
                  <c:v>0 a 9</c:v>
                </c:pt>
                <c:pt idx="1">
                  <c:v>10 a 17</c:v>
                </c:pt>
                <c:pt idx="2">
                  <c:v>18 a 29</c:v>
                </c:pt>
                <c:pt idx="3">
                  <c:v>30 a 39</c:v>
                </c:pt>
                <c:pt idx="4">
                  <c:v>40 a 59</c:v>
                </c:pt>
                <c:pt idx="5">
                  <c:v>60 ou mais</c:v>
                </c:pt>
              </c:strCache>
            </c:strRef>
          </c:cat>
          <c:val>
            <c:numRef>
              <c:f>'Fext - 2019'!$N$5:$S$5</c:f>
              <c:numCache>
                <c:formatCode>0.0</c:formatCode>
                <c:ptCount val="6"/>
                <c:pt idx="0">
                  <c:v>5.5851360911494208</c:v>
                </c:pt>
                <c:pt idx="1">
                  <c:v>8.9528186457369667</c:v>
                </c:pt>
                <c:pt idx="2">
                  <c:v>3.2049588814341314</c:v>
                </c:pt>
                <c:pt idx="3">
                  <c:v>2.4986114404574531</c:v>
                </c:pt>
                <c:pt idx="4">
                  <c:v>0.96759209173772764</c:v>
                </c:pt>
                <c:pt idx="5">
                  <c:v>1.2649183624864377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21-4A8B-9624-CEAD7B882E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71809008"/>
        <c:axId val="671814992"/>
      </c:lineChart>
      <c:catAx>
        <c:axId val="6718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4992"/>
        <c:crosses val="autoZero"/>
        <c:auto val="1"/>
        <c:lblAlgn val="ctr"/>
        <c:lblOffset val="100"/>
        <c:noMultiLvlLbl val="0"/>
      </c:catAx>
      <c:valAx>
        <c:axId val="67181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0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39392961218659"/>
          <c:y val="3.0438650258538005E-2"/>
          <c:w val="0.76215499248891716"/>
          <c:h val="6.7365740959026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TipodefxAgr.auto!$A$4</c:f>
              <c:strCache>
                <c:ptCount val="1"/>
                <c:pt idx="0">
                  <c:v>Intelectual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TipodefxAgr.auto!$C$1:$G$3</c:f>
              <c:multiLvlStrCache>
                <c:ptCount val="5"/>
                <c:lvl>
                  <c:pt idx="0">
                    <c:v>Doméstica</c:v>
                  </c:pt>
                  <c:pt idx="1">
                    <c:v>Autoprovocada</c:v>
                  </c:pt>
                  <c:pt idx="2">
                    <c:v>Comunitária</c:v>
                  </c:pt>
                  <c:pt idx="3">
                    <c:v>Misto*</c:v>
                  </c:pt>
                  <c:pt idx="4">
                    <c:v>Institucional</c:v>
                  </c:pt>
                </c:lvl>
                <c:lvl>
                  <c:pt idx="1">
                    <c:v>Mulheres e Homens
Grupo de Contexto/Autoria
</c:v>
                  </c:pt>
                </c:lvl>
              </c:multiLvlStrCache>
            </c:multiLvlStrRef>
          </c:cat>
          <c:val>
            <c:numRef>
              <c:f>TipodefxAgr.auto!$C$4:$G$4</c:f>
              <c:numCache>
                <c:formatCode>General</c:formatCode>
                <c:ptCount val="5"/>
                <c:pt idx="0">
                  <c:v>1397</c:v>
                </c:pt>
                <c:pt idx="1">
                  <c:v>2005</c:v>
                </c:pt>
                <c:pt idx="2">
                  <c:v>865</c:v>
                </c:pt>
                <c:pt idx="3">
                  <c:v>463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4-47CC-8A3C-98FF376F267E}"/>
            </c:ext>
          </c:extLst>
        </c:ser>
        <c:ser>
          <c:idx val="2"/>
          <c:order val="2"/>
          <c:tx>
            <c:strRef>
              <c:f>TipodefxAgr.auto!$A$6</c:f>
              <c:strCache>
                <c:ptCount val="1"/>
                <c:pt idx="0">
                  <c:v>Física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TipodefxAgr.auto!$C$1:$G$3</c:f>
              <c:multiLvlStrCache>
                <c:ptCount val="5"/>
                <c:lvl>
                  <c:pt idx="0">
                    <c:v>Doméstica</c:v>
                  </c:pt>
                  <c:pt idx="1">
                    <c:v>Autoprovocada</c:v>
                  </c:pt>
                  <c:pt idx="2">
                    <c:v>Comunitária</c:v>
                  </c:pt>
                  <c:pt idx="3">
                    <c:v>Misto*</c:v>
                  </c:pt>
                  <c:pt idx="4">
                    <c:v>Institucional</c:v>
                  </c:pt>
                </c:lvl>
                <c:lvl>
                  <c:pt idx="1">
                    <c:v>Mulheres e Homens
Grupo de Contexto/Autoria
</c:v>
                  </c:pt>
                </c:lvl>
              </c:multiLvlStrCache>
            </c:multiLvlStrRef>
          </c:cat>
          <c:val>
            <c:numRef>
              <c:f>TipodefxAgr.auto!$C$6:$G$6</c:f>
              <c:numCache>
                <c:formatCode>General</c:formatCode>
                <c:ptCount val="5"/>
                <c:pt idx="0">
                  <c:v>1416</c:v>
                </c:pt>
                <c:pt idx="1">
                  <c:v>474</c:v>
                </c:pt>
                <c:pt idx="2">
                  <c:v>394</c:v>
                </c:pt>
                <c:pt idx="3">
                  <c:v>322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4-47CC-8A3C-98FF376F267E}"/>
            </c:ext>
          </c:extLst>
        </c:ser>
        <c:ser>
          <c:idx val="4"/>
          <c:order val="4"/>
          <c:tx>
            <c:strRef>
              <c:f>TipodefxAgr.auto!$A$8</c:f>
              <c:strCache>
                <c:ptCount val="1"/>
                <c:pt idx="0">
                  <c:v>Múltipla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multiLvlStrRef>
              <c:f>TipodefxAgr.auto!$C$1:$G$3</c:f>
              <c:multiLvlStrCache>
                <c:ptCount val="5"/>
                <c:lvl>
                  <c:pt idx="0">
                    <c:v>Doméstica</c:v>
                  </c:pt>
                  <c:pt idx="1">
                    <c:v>Autoprovocada</c:v>
                  </c:pt>
                  <c:pt idx="2">
                    <c:v>Comunitária</c:v>
                  </c:pt>
                  <c:pt idx="3">
                    <c:v>Misto*</c:v>
                  </c:pt>
                  <c:pt idx="4">
                    <c:v>Institucional</c:v>
                  </c:pt>
                </c:lvl>
                <c:lvl>
                  <c:pt idx="1">
                    <c:v>Mulheres e Homens
Grupo de Contexto/Autoria
</c:v>
                  </c:pt>
                </c:lvl>
              </c:multiLvlStrCache>
            </c:multiLvlStrRef>
          </c:cat>
          <c:val>
            <c:numRef>
              <c:f>TipodefxAgr.auto!$C$8:$G$8</c:f>
              <c:numCache>
                <c:formatCode>General</c:formatCode>
                <c:ptCount val="5"/>
                <c:pt idx="0">
                  <c:v>668</c:v>
                </c:pt>
                <c:pt idx="1">
                  <c:v>134</c:v>
                </c:pt>
                <c:pt idx="2">
                  <c:v>133</c:v>
                </c:pt>
                <c:pt idx="3">
                  <c:v>139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34-47CC-8A3C-98FF376F267E}"/>
            </c:ext>
          </c:extLst>
        </c:ser>
        <c:ser>
          <c:idx val="6"/>
          <c:order val="6"/>
          <c:tx>
            <c:strRef>
              <c:f>TipodefxAgr.auto!$A$10</c:f>
              <c:strCache>
                <c:ptCount val="1"/>
                <c:pt idx="0">
                  <c:v>Visual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TipodefxAgr.auto!$C$1:$G$3</c:f>
              <c:multiLvlStrCache>
                <c:ptCount val="5"/>
                <c:lvl>
                  <c:pt idx="0">
                    <c:v>Doméstica</c:v>
                  </c:pt>
                  <c:pt idx="1">
                    <c:v>Autoprovocada</c:v>
                  </c:pt>
                  <c:pt idx="2">
                    <c:v>Comunitária</c:v>
                  </c:pt>
                  <c:pt idx="3">
                    <c:v>Misto*</c:v>
                  </c:pt>
                  <c:pt idx="4">
                    <c:v>Institucional</c:v>
                  </c:pt>
                </c:lvl>
                <c:lvl>
                  <c:pt idx="1">
                    <c:v>Mulheres e Homens
Grupo de Contexto/Autoria
</c:v>
                  </c:pt>
                </c:lvl>
              </c:multiLvlStrCache>
            </c:multiLvlStrRef>
          </c:cat>
          <c:val>
            <c:numRef>
              <c:f>TipodefxAgr.auto!$C$10:$G$10</c:f>
              <c:numCache>
                <c:formatCode>General</c:formatCode>
                <c:ptCount val="5"/>
                <c:pt idx="0">
                  <c:v>399</c:v>
                </c:pt>
                <c:pt idx="1">
                  <c:v>176</c:v>
                </c:pt>
                <c:pt idx="2">
                  <c:v>149</c:v>
                </c:pt>
                <c:pt idx="3">
                  <c:v>114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34-47CC-8A3C-98FF376F267E}"/>
            </c:ext>
          </c:extLst>
        </c:ser>
        <c:ser>
          <c:idx val="8"/>
          <c:order val="8"/>
          <c:tx>
            <c:strRef>
              <c:f>TipodefxAgr.auto!$A$12</c:f>
              <c:strCache>
                <c:ptCount val="1"/>
                <c:pt idx="0">
                  <c:v>Auditiva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TipodefxAgr.auto!$C$1:$G$3</c:f>
              <c:multiLvlStrCache>
                <c:ptCount val="5"/>
                <c:lvl>
                  <c:pt idx="0">
                    <c:v>Doméstica</c:v>
                  </c:pt>
                  <c:pt idx="1">
                    <c:v>Autoprovocada</c:v>
                  </c:pt>
                  <c:pt idx="2">
                    <c:v>Comunitária</c:v>
                  </c:pt>
                  <c:pt idx="3">
                    <c:v>Misto*</c:v>
                  </c:pt>
                  <c:pt idx="4">
                    <c:v>Institucional</c:v>
                  </c:pt>
                </c:lvl>
                <c:lvl>
                  <c:pt idx="1">
                    <c:v>Mulheres e Homens
Grupo de Contexto/Autoria
</c:v>
                  </c:pt>
                </c:lvl>
              </c:multiLvlStrCache>
            </c:multiLvlStrRef>
          </c:cat>
          <c:val>
            <c:numRef>
              <c:f>TipodefxAgr.auto!$C$12:$G$12</c:f>
              <c:numCache>
                <c:formatCode>General</c:formatCode>
                <c:ptCount val="5"/>
                <c:pt idx="0">
                  <c:v>281</c:v>
                </c:pt>
                <c:pt idx="1">
                  <c:v>138</c:v>
                </c:pt>
                <c:pt idx="2">
                  <c:v>142</c:v>
                </c:pt>
                <c:pt idx="3">
                  <c:v>70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34-47CC-8A3C-98FF376F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71817168"/>
        <c:axId val="6718182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TipodefxAgr.auto!$A$5:$B$5</c15:sqref>
                        </c15:formulaRef>
                      </c:ext>
                    </c:extLst>
                    <c:strCache>
                      <c:ptCount val="2"/>
                      <c:pt idx="0">
                        <c:v>Intelectual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TipodefxAgr.auto!$C$1:$G$3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Doméstica</c:v>
                        </c:pt>
                        <c:pt idx="1">
                          <c:v>Autoprovocada</c:v>
                        </c:pt>
                        <c:pt idx="2">
                          <c:v>Comunitária</c:v>
                        </c:pt>
                        <c:pt idx="3">
                          <c:v>Misto*</c:v>
                        </c:pt>
                        <c:pt idx="4">
                          <c:v>Institucional</c:v>
                        </c:pt>
                      </c:lvl>
                      <c:lvl>
                        <c:pt idx="1">
                          <c:v>Mulheres e Homens
Grupo de Contexto/Autoria
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TipodefxAgr.auto!$C$5:$G$5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29.06</c:v>
                      </c:pt>
                      <c:pt idx="1">
                        <c:v>41.7</c:v>
                      </c:pt>
                      <c:pt idx="2">
                        <c:v>17.989999999999998</c:v>
                      </c:pt>
                      <c:pt idx="3">
                        <c:v>9.6300000000000008</c:v>
                      </c:pt>
                      <c:pt idx="4">
                        <c:v>1.62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434-47CC-8A3C-98FF376F267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TipodefxAgr.auto!$A$7:$B$7</c15:sqref>
                        </c15:formulaRef>
                      </c:ext>
                    </c:extLst>
                    <c:strCache>
                      <c:ptCount val="2"/>
                      <c:pt idx="0">
                        <c:v>Física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TipodefxAgr.auto!$C$1:$G$3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Doméstica</c:v>
                        </c:pt>
                        <c:pt idx="1">
                          <c:v>Autoprovocada</c:v>
                        </c:pt>
                        <c:pt idx="2">
                          <c:v>Comunitária</c:v>
                        </c:pt>
                        <c:pt idx="3">
                          <c:v>Misto*</c:v>
                        </c:pt>
                        <c:pt idx="4">
                          <c:v>Institucional</c:v>
                        </c:pt>
                      </c:lvl>
                      <c:lvl>
                        <c:pt idx="1">
                          <c:v>Mulheres e Homens
Grupo de Contexto/Autoria
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TipodefxAgr.auto!$C$7:$G$7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53.53</c:v>
                      </c:pt>
                      <c:pt idx="1">
                        <c:v>17.920000000000002</c:v>
                      </c:pt>
                      <c:pt idx="2">
                        <c:v>14.9</c:v>
                      </c:pt>
                      <c:pt idx="3">
                        <c:v>12.17</c:v>
                      </c:pt>
                      <c:pt idx="4">
                        <c:v>1.47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34-47CC-8A3C-98FF376F267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TipodefxAgr.auto!$A$9:$B$9</c15:sqref>
                        </c15:formulaRef>
                      </c:ext>
                    </c:extLst>
                    <c:strCache>
                      <c:ptCount val="2"/>
                      <c:pt idx="0">
                        <c:v>Múltipla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TipodefxAgr.auto!$C$1:$G$3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Doméstica</c:v>
                        </c:pt>
                        <c:pt idx="1">
                          <c:v>Autoprovocada</c:v>
                        </c:pt>
                        <c:pt idx="2">
                          <c:v>Comunitária</c:v>
                        </c:pt>
                        <c:pt idx="3">
                          <c:v>Misto*</c:v>
                        </c:pt>
                        <c:pt idx="4">
                          <c:v>Institucional</c:v>
                        </c:pt>
                      </c:lvl>
                      <c:lvl>
                        <c:pt idx="1">
                          <c:v>Mulheres e Homens
Grupo de Contexto/Autoria
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TipodefxAgr.auto!$C$9:$G$9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61.12</c:v>
                      </c:pt>
                      <c:pt idx="1">
                        <c:v>12.26</c:v>
                      </c:pt>
                      <c:pt idx="2">
                        <c:v>12.17</c:v>
                      </c:pt>
                      <c:pt idx="3">
                        <c:v>12.72</c:v>
                      </c:pt>
                      <c:pt idx="4">
                        <c:v>1.74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434-47CC-8A3C-98FF376F267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TipodefxAgr.auto!$A$11:$B$11</c15:sqref>
                        </c15:formulaRef>
                      </c:ext>
                    </c:extLst>
                    <c:strCache>
                      <c:ptCount val="2"/>
                      <c:pt idx="0">
                        <c:v>Visual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TipodefxAgr.auto!$C$1:$G$3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Doméstica</c:v>
                        </c:pt>
                        <c:pt idx="1">
                          <c:v>Autoprovocada</c:v>
                        </c:pt>
                        <c:pt idx="2">
                          <c:v>Comunitária</c:v>
                        </c:pt>
                        <c:pt idx="3">
                          <c:v>Misto*</c:v>
                        </c:pt>
                        <c:pt idx="4">
                          <c:v>Institucional</c:v>
                        </c:pt>
                      </c:lvl>
                      <c:lvl>
                        <c:pt idx="1">
                          <c:v>Mulheres e Homens
Grupo de Contexto/Autoria
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TipodefxAgr.auto!$C$11:$G$11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46.94</c:v>
                      </c:pt>
                      <c:pt idx="1">
                        <c:v>20.71</c:v>
                      </c:pt>
                      <c:pt idx="2">
                        <c:v>17.53</c:v>
                      </c:pt>
                      <c:pt idx="3">
                        <c:v>13.41</c:v>
                      </c:pt>
                      <c:pt idx="4">
                        <c:v>1.41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434-47CC-8A3C-98FF376F267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TipodefxAgr.auto!$A$13:$B$13</c15:sqref>
                        </c15:formulaRef>
                      </c:ext>
                    </c:extLst>
                    <c:strCache>
                      <c:ptCount val="2"/>
                      <c:pt idx="0">
                        <c:v>Auditiva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TipodefxAgr.auto!$C$1:$G$3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Doméstica</c:v>
                        </c:pt>
                        <c:pt idx="1">
                          <c:v>Autoprovocada</c:v>
                        </c:pt>
                        <c:pt idx="2">
                          <c:v>Comunitária</c:v>
                        </c:pt>
                        <c:pt idx="3">
                          <c:v>Misto*</c:v>
                        </c:pt>
                        <c:pt idx="4">
                          <c:v>Institucional</c:v>
                        </c:pt>
                      </c:lvl>
                      <c:lvl>
                        <c:pt idx="1">
                          <c:v>Mulheres e Homens
Grupo de Contexto/Autoria
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TipodefxAgr.auto!$C$13:$G$13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43.03</c:v>
                      </c:pt>
                      <c:pt idx="1">
                        <c:v>21.13</c:v>
                      </c:pt>
                      <c:pt idx="2">
                        <c:v>21.75</c:v>
                      </c:pt>
                      <c:pt idx="3">
                        <c:v>10.72</c:v>
                      </c:pt>
                      <c:pt idx="4">
                        <c:v>3.37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434-47CC-8A3C-98FF376F267E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TipodefxAgr.auto!$A$14:$B$14</c15:sqref>
                        </c15:formulaRef>
                      </c:ext>
                    </c:extLst>
                    <c:strCache>
                      <c:ptCount val="2"/>
                      <c:pt idx="0">
                        <c:v>Total</c:v>
                      </c:pt>
                      <c:pt idx="1">
                        <c:v>núm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TipodefxAgr.auto!$C$1:$G$3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Doméstica</c:v>
                        </c:pt>
                        <c:pt idx="1">
                          <c:v>Autoprovocada</c:v>
                        </c:pt>
                        <c:pt idx="2">
                          <c:v>Comunitária</c:v>
                        </c:pt>
                        <c:pt idx="3">
                          <c:v>Misto*</c:v>
                        </c:pt>
                        <c:pt idx="4">
                          <c:v>Institucional</c:v>
                        </c:pt>
                      </c:lvl>
                      <c:lvl>
                        <c:pt idx="1">
                          <c:v>Mulheres e Homens
Grupo de Contexto/Autoria
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TipodefxAgr.auto!$C$14:$G$14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4161</c:v>
                      </c:pt>
                      <c:pt idx="1">
                        <c:v>2927</c:v>
                      </c:pt>
                      <c:pt idx="2">
                        <c:v>1683</c:v>
                      </c:pt>
                      <c:pt idx="3">
                        <c:v>1108</c:v>
                      </c:pt>
                      <c:pt idx="4">
                        <c:v>170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434-47CC-8A3C-98FF376F267E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TipodefxAgr.auto!$A$15:$B$15</c15:sqref>
                        </c15:formulaRef>
                      </c:ext>
                    </c:extLst>
                    <c:strCache>
                      <c:ptCount val="2"/>
                      <c:pt idx="0">
                        <c:v>Total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TipodefxAgr.auto!$C$1:$G$3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Doméstica</c:v>
                        </c:pt>
                        <c:pt idx="1">
                          <c:v>Autoprovocada</c:v>
                        </c:pt>
                        <c:pt idx="2">
                          <c:v>Comunitária</c:v>
                        </c:pt>
                        <c:pt idx="3">
                          <c:v>Misto*</c:v>
                        </c:pt>
                        <c:pt idx="4">
                          <c:v>Institucional</c:v>
                        </c:pt>
                      </c:lvl>
                      <c:lvl>
                        <c:pt idx="1">
                          <c:v>Mulheres e Homens
Grupo de Contexto/Autoria
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TipodefxAgr.auto!$C$15:$G$15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41.41</c:v>
                      </c:pt>
                      <c:pt idx="1">
                        <c:v>29.13</c:v>
                      </c:pt>
                      <c:pt idx="2">
                        <c:v>16.75</c:v>
                      </c:pt>
                      <c:pt idx="3">
                        <c:v>11.03</c:v>
                      </c:pt>
                      <c:pt idx="4">
                        <c:v>1.69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434-47CC-8A3C-98FF376F267E}"/>
                  </c:ext>
                </c:extLst>
              </c15:ser>
            </c15:filteredBarSeries>
          </c:ext>
        </c:extLst>
      </c:barChart>
      <c:catAx>
        <c:axId val="67181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8256"/>
        <c:crosses val="autoZero"/>
        <c:auto val="1"/>
        <c:lblAlgn val="ctr"/>
        <c:lblOffset val="100"/>
        <c:noMultiLvlLbl val="0"/>
      </c:catAx>
      <c:valAx>
        <c:axId val="6718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TipodefxAgr!$A$4</c:f>
              <c:strCache>
                <c:ptCount val="1"/>
                <c:pt idx="0">
                  <c:v>Trans. Mental</c:v>
                </c:pt>
              </c:strCache>
            </c:strRef>
          </c:tx>
          <c:invertIfNegative val="0"/>
          <c:cat>
            <c:strRef>
              <c:f>TipodefxAgr!$C$3:$F$3</c:f>
              <c:strCache>
                <c:ptCount val="4"/>
                <c:pt idx="0">
                  <c:v>Doméstica</c:v>
                </c:pt>
                <c:pt idx="1">
                  <c:v>Comunitária</c:v>
                </c:pt>
                <c:pt idx="2">
                  <c:v>Misto*</c:v>
                </c:pt>
                <c:pt idx="3">
                  <c:v>Institucional</c:v>
                </c:pt>
              </c:strCache>
            </c:strRef>
          </c:cat>
          <c:val>
            <c:numRef>
              <c:f>TipodefxAgr!$C$4:$F$4</c:f>
              <c:numCache>
                <c:formatCode>General</c:formatCode>
                <c:ptCount val="4"/>
                <c:pt idx="0">
                  <c:v>5259</c:v>
                </c:pt>
                <c:pt idx="1">
                  <c:v>2550</c:v>
                </c:pt>
                <c:pt idx="2">
                  <c:v>1544</c:v>
                </c:pt>
                <c:pt idx="3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8-42D9-A054-73C14F40F58F}"/>
            </c:ext>
          </c:extLst>
        </c:ser>
        <c:ser>
          <c:idx val="1"/>
          <c:order val="1"/>
          <c:tx>
            <c:strRef>
              <c:f>TipodefxAgr!$A$6</c:f>
              <c:strCache>
                <c:ptCount val="1"/>
                <c:pt idx="0">
                  <c:v>Múltipla</c:v>
                </c:pt>
              </c:strCache>
            </c:strRef>
          </c:tx>
          <c:invertIfNegative val="0"/>
          <c:cat>
            <c:strRef>
              <c:f>TipodefxAgr!$C$3:$F$3</c:f>
              <c:strCache>
                <c:ptCount val="4"/>
                <c:pt idx="0">
                  <c:v>Doméstica</c:v>
                </c:pt>
                <c:pt idx="1">
                  <c:v>Comunitária</c:v>
                </c:pt>
                <c:pt idx="2">
                  <c:v>Misto*</c:v>
                </c:pt>
                <c:pt idx="3">
                  <c:v>Institucional</c:v>
                </c:pt>
              </c:strCache>
            </c:strRef>
          </c:cat>
          <c:val>
            <c:numRef>
              <c:f>TipodefxAgr!$C$6:$F$6</c:f>
              <c:numCache>
                <c:formatCode>General</c:formatCode>
                <c:ptCount val="4"/>
                <c:pt idx="0">
                  <c:v>1870</c:v>
                </c:pt>
                <c:pt idx="1">
                  <c:v>636</c:v>
                </c:pt>
                <c:pt idx="2">
                  <c:v>552</c:v>
                </c:pt>
                <c:pt idx="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8-42D9-A054-73C14F40F58F}"/>
            </c:ext>
          </c:extLst>
        </c:ser>
        <c:ser>
          <c:idx val="2"/>
          <c:order val="2"/>
          <c:tx>
            <c:strRef>
              <c:f>TipodefxAgr!$A$8</c:f>
              <c:strCache>
                <c:ptCount val="1"/>
                <c:pt idx="0">
                  <c:v>Física</c:v>
                </c:pt>
              </c:strCache>
            </c:strRef>
          </c:tx>
          <c:invertIfNegative val="0"/>
          <c:cat>
            <c:strRef>
              <c:f>TipodefxAgr!$C$3:$F$3</c:f>
              <c:strCache>
                <c:ptCount val="4"/>
                <c:pt idx="0">
                  <c:v>Doméstica</c:v>
                </c:pt>
                <c:pt idx="1">
                  <c:v>Comunitária</c:v>
                </c:pt>
                <c:pt idx="2">
                  <c:v>Misto*</c:v>
                </c:pt>
                <c:pt idx="3">
                  <c:v>Institucional</c:v>
                </c:pt>
              </c:strCache>
            </c:strRef>
          </c:cat>
          <c:val>
            <c:numRef>
              <c:f>TipodefxAgr!$C$8:$F$8</c:f>
              <c:numCache>
                <c:formatCode>General</c:formatCode>
                <c:ptCount val="4"/>
                <c:pt idx="0">
                  <c:v>1909</c:v>
                </c:pt>
                <c:pt idx="1">
                  <c:v>504</c:v>
                </c:pt>
                <c:pt idx="2">
                  <c:v>437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8-42D9-A054-73C14F40F58F}"/>
            </c:ext>
          </c:extLst>
        </c:ser>
        <c:ser>
          <c:idx val="3"/>
          <c:order val="3"/>
          <c:tx>
            <c:strRef>
              <c:f>TipodefxAgr!$A$10</c:f>
              <c:strCache>
                <c:ptCount val="1"/>
                <c:pt idx="0">
                  <c:v>Intelectual</c:v>
                </c:pt>
              </c:strCache>
            </c:strRef>
          </c:tx>
          <c:invertIfNegative val="0"/>
          <c:cat>
            <c:strRef>
              <c:f>TipodefxAgr!$C$3:$F$3</c:f>
              <c:strCache>
                <c:ptCount val="4"/>
                <c:pt idx="0">
                  <c:v>Doméstica</c:v>
                </c:pt>
                <c:pt idx="1">
                  <c:v>Comunitária</c:v>
                </c:pt>
                <c:pt idx="2">
                  <c:v>Misto*</c:v>
                </c:pt>
                <c:pt idx="3">
                  <c:v>Institucional</c:v>
                </c:pt>
              </c:strCache>
            </c:strRef>
          </c:cat>
          <c:val>
            <c:numRef>
              <c:f>TipodefxAgr!$C$10:$F$10</c:f>
              <c:numCache>
                <c:formatCode>General</c:formatCode>
                <c:ptCount val="4"/>
                <c:pt idx="0">
                  <c:v>1350</c:v>
                </c:pt>
                <c:pt idx="1">
                  <c:v>755</c:v>
                </c:pt>
                <c:pt idx="2">
                  <c:v>401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B8-42D9-A054-73C14F40F58F}"/>
            </c:ext>
          </c:extLst>
        </c:ser>
        <c:ser>
          <c:idx val="4"/>
          <c:order val="4"/>
          <c:tx>
            <c:strRef>
              <c:f>TipodefxAgr!$A$12</c:f>
              <c:strCache>
                <c:ptCount val="1"/>
                <c:pt idx="0">
                  <c:v>Auditiva</c:v>
                </c:pt>
              </c:strCache>
            </c:strRef>
          </c:tx>
          <c:invertIfNegative val="0"/>
          <c:cat>
            <c:strRef>
              <c:f>TipodefxAgr!$C$3:$F$3</c:f>
              <c:strCache>
                <c:ptCount val="4"/>
                <c:pt idx="0">
                  <c:v>Doméstica</c:v>
                </c:pt>
                <c:pt idx="1">
                  <c:v>Comunitária</c:v>
                </c:pt>
                <c:pt idx="2">
                  <c:v>Misto*</c:v>
                </c:pt>
                <c:pt idx="3">
                  <c:v>Institucional</c:v>
                </c:pt>
              </c:strCache>
            </c:strRef>
          </c:cat>
          <c:val>
            <c:numRef>
              <c:f>TipodefxAgr!$C$12:$F$12</c:f>
              <c:numCache>
                <c:formatCode>General</c:formatCode>
                <c:ptCount val="4"/>
                <c:pt idx="0">
                  <c:v>438</c:v>
                </c:pt>
                <c:pt idx="1">
                  <c:v>198</c:v>
                </c:pt>
                <c:pt idx="2">
                  <c:v>139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B8-42D9-A054-73C14F40F58F}"/>
            </c:ext>
          </c:extLst>
        </c:ser>
        <c:ser>
          <c:idx val="5"/>
          <c:order val="5"/>
          <c:tx>
            <c:strRef>
              <c:f>TipodefxAgr!$A$14</c:f>
              <c:strCache>
                <c:ptCount val="1"/>
                <c:pt idx="0">
                  <c:v>Visual</c:v>
                </c:pt>
              </c:strCache>
            </c:strRef>
          </c:tx>
          <c:invertIfNegative val="0"/>
          <c:cat>
            <c:strRef>
              <c:f>TipodefxAgr!$C$3:$F$3</c:f>
              <c:strCache>
                <c:ptCount val="4"/>
                <c:pt idx="0">
                  <c:v>Doméstica</c:v>
                </c:pt>
                <c:pt idx="1">
                  <c:v>Comunitária</c:v>
                </c:pt>
                <c:pt idx="2">
                  <c:v>Misto*</c:v>
                </c:pt>
                <c:pt idx="3">
                  <c:v>Institucional</c:v>
                </c:pt>
              </c:strCache>
            </c:strRef>
          </c:cat>
          <c:val>
            <c:numRef>
              <c:f>TipodefxAgr!$C$14:$F$14</c:f>
              <c:numCache>
                <c:formatCode>General</c:formatCode>
                <c:ptCount val="4"/>
                <c:pt idx="0">
                  <c:v>518</c:v>
                </c:pt>
                <c:pt idx="1">
                  <c:v>188</c:v>
                </c:pt>
                <c:pt idx="2">
                  <c:v>148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B8-42D9-A054-73C14F40F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1820432"/>
        <c:axId val="671817712"/>
      </c:barChart>
      <c:catAx>
        <c:axId val="671820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71817712"/>
        <c:crosses val="autoZero"/>
        <c:auto val="1"/>
        <c:lblAlgn val="ctr"/>
        <c:lblOffset val="100"/>
        <c:noMultiLvlLbl val="0"/>
      </c:catAx>
      <c:valAx>
        <c:axId val="67181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71820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Agrxfxet80.auto!$A$4</c:f>
              <c:strCache>
                <c:ptCount val="1"/>
                <c:pt idx="0">
                  <c:v>Autoprovocada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Agrxfxet80.auto!$C$3:$K$3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Agrxfxet80.auto!$C$4:$K$4</c:f>
              <c:numCache>
                <c:formatCode>General</c:formatCode>
                <c:ptCount val="9"/>
                <c:pt idx="0">
                  <c:v>17</c:v>
                </c:pt>
                <c:pt idx="1">
                  <c:v>697</c:v>
                </c:pt>
                <c:pt idx="2">
                  <c:v>725</c:v>
                </c:pt>
                <c:pt idx="3">
                  <c:v>620</c:v>
                </c:pt>
                <c:pt idx="4">
                  <c:v>463</c:v>
                </c:pt>
                <c:pt idx="5">
                  <c:v>234</c:v>
                </c:pt>
                <c:pt idx="6">
                  <c:v>95</c:v>
                </c:pt>
                <c:pt idx="7">
                  <c:v>49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2-4DB2-B4DE-A2E0AF2283E0}"/>
            </c:ext>
          </c:extLst>
        </c:ser>
        <c:ser>
          <c:idx val="2"/>
          <c:order val="2"/>
          <c:tx>
            <c:strRef>
              <c:f>Agrxfxet80.auto!$A$6</c:f>
              <c:strCache>
                <c:ptCount val="1"/>
                <c:pt idx="0">
                  <c:v>Comunitária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Agrxfxet80.auto!$C$3:$K$3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Agrxfxet80.auto!$C$6:$K$6</c:f>
              <c:numCache>
                <c:formatCode>General</c:formatCode>
                <c:ptCount val="9"/>
                <c:pt idx="0">
                  <c:v>77</c:v>
                </c:pt>
                <c:pt idx="1">
                  <c:v>464</c:v>
                </c:pt>
                <c:pt idx="2">
                  <c:v>321</c:v>
                </c:pt>
                <c:pt idx="3">
                  <c:v>287</c:v>
                </c:pt>
                <c:pt idx="4">
                  <c:v>218</c:v>
                </c:pt>
                <c:pt idx="5">
                  <c:v>142</c:v>
                </c:pt>
                <c:pt idx="6">
                  <c:v>99</c:v>
                </c:pt>
                <c:pt idx="7">
                  <c:v>50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2-4DB2-B4DE-A2E0AF2283E0}"/>
            </c:ext>
          </c:extLst>
        </c:ser>
        <c:ser>
          <c:idx val="4"/>
          <c:order val="4"/>
          <c:tx>
            <c:strRef>
              <c:f>Agrxfxet80.auto!$A$8</c:f>
              <c:strCache>
                <c:ptCount val="1"/>
                <c:pt idx="0">
                  <c:v>Doméstica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Agrxfxet80.auto!$C$3:$K$3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Agrxfxet80.auto!$C$8:$K$8</c:f>
              <c:numCache>
                <c:formatCode>General</c:formatCode>
                <c:ptCount val="9"/>
                <c:pt idx="0">
                  <c:v>448</c:v>
                </c:pt>
                <c:pt idx="1">
                  <c:v>636</c:v>
                </c:pt>
                <c:pt idx="2">
                  <c:v>494</c:v>
                </c:pt>
                <c:pt idx="3">
                  <c:v>506</c:v>
                </c:pt>
                <c:pt idx="4">
                  <c:v>488</c:v>
                </c:pt>
                <c:pt idx="5">
                  <c:v>417</c:v>
                </c:pt>
                <c:pt idx="6">
                  <c:v>456</c:v>
                </c:pt>
                <c:pt idx="7">
                  <c:v>384</c:v>
                </c:pt>
                <c:pt idx="8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C2-4DB2-B4DE-A2E0AF2283E0}"/>
            </c:ext>
          </c:extLst>
        </c:ser>
        <c:ser>
          <c:idx val="6"/>
          <c:order val="6"/>
          <c:tx>
            <c:strRef>
              <c:f>Agrxfxet80.auto!$A$10</c:f>
              <c:strCache>
                <c:ptCount val="1"/>
                <c:pt idx="0">
                  <c:v>Institucional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Agrxfxet80.auto!$C$3:$K$3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Agrxfxet80.auto!$C$10:$K$10</c:f>
              <c:numCache>
                <c:formatCode>General</c:formatCode>
                <c:ptCount val="9"/>
                <c:pt idx="0">
                  <c:v>12</c:v>
                </c:pt>
                <c:pt idx="1">
                  <c:v>45</c:v>
                </c:pt>
                <c:pt idx="2">
                  <c:v>21</c:v>
                </c:pt>
                <c:pt idx="3">
                  <c:v>19</c:v>
                </c:pt>
                <c:pt idx="4">
                  <c:v>20</c:v>
                </c:pt>
                <c:pt idx="5">
                  <c:v>17</c:v>
                </c:pt>
                <c:pt idx="6">
                  <c:v>15</c:v>
                </c:pt>
                <c:pt idx="7">
                  <c:v>12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C2-4DB2-B4DE-A2E0AF2283E0}"/>
            </c:ext>
          </c:extLst>
        </c:ser>
        <c:ser>
          <c:idx val="8"/>
          <c:order val="8"/>
          <c:tx>
            <c:strRef>
              <c:f>Agrxfxet80.auto!$A$12</c:f>
              <c:strCache>
                <c:ptCount val="1"/>
                <c:pt idx="0">
                  <c:v>Misto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Agrxfxet80.auto!$C$3:$K$3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Agrxfxet80.auto!$C$12:$K$12</c:f>
              <c:numCache>
                <c:formatCode>General</c:formatCode>
                <c:ptCount val="9"/>
                <c:pt idx="0">
                  <c:v>88</c:v>
                </c:pt>
                <c:pt idx="1">
                  <c:v>231</c:v>
                </c:pt>
                <c:pt idx="2">
                  <c:v>129</c:v>
                </c:pt>
                <c:pt idx="3">
                  <c:v>115</c:v>
                </c:pt>
                <c:pt idx="4">
                  <c:v>100</c:v>
                </c:pt>
                <c:pt idx="5">
                  <c:v>93</c:v>
                </c:pt>
                <c:pt idx="6">
                  <c:v>110</c:v>
                </c:pt>
                <c:pt idx="7">
                  <c:v>125</c:v>
                </c:pt>
                <c:pt idx="8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C2-4DB2-B4DE-A2E0AF22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1820976"/>
        <c:axId val="67181009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Agrxfxet80.auto!$A$5:$B$5</c15:sqref>
                        </c15:formulaRef>
                      </c:ext>
                    </c:extLst>
                    <c:strCache>
                      <c:ptCount val="2"/>
                      <c:pt idx="0">
                        <c:v>Autoprovocada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Agrxfxet80.auto!$C$3:$K$3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Agrxfxet80.auto!$C$5:$K$5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0.57999999999999996</c:v>
                      </c:pt>
                      <c:pt idx="1">
                        <c:v>23.87</c:v>
                      </c:pt>
                      <c:pt idx="2">
                        <c:v>24.83</c:v>
                      </c:pt>
                      <c:pt idx="3">
                        <c:v>21.23</c:v>
                      </c:pt>
                      <c:pt idx="4">
                        <c:v>15.86</c:v>
                      </c:pt>
                      <c:pt idx="5">
                        <c:v>8.01</c:v>
                      </c:pt>
                      <c:pt idx="6">
                        <c:v>3.25</c:v>
                      </c:pt>
                      <c:pt idx="7">
                        <c:v>1.68</c:v>
                      </c:pt>
                      <c:pt idx="8">
                        <c:v>0.68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EC2-4DB2-B4DE-A2E0AF2283E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Agrxfxet80.auto!$A$7:$B$7</c15:sqref>
                        </c15:formulaRef>
                      </c:ext>
                    </c:extLst>
                    <c:strCache>
                      <c:ptCount val="2"/>
                      <c:pt idx="0">
                        <c:v>Comunitária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Agrxfxet80.auto!$C$7:$K$7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4.58</c:v>
                      </c:pt>
                      <c:pt idx="1">
                        <c:v>27.6</c:v>
                      </c:pt>
                      <c:pt idx="2">
                        <c:v>19.100000000000001</c:v>
                      </c:pt>
                      <c:pt idx="3">
                        <c:v>17.07</c:v>
                      </c:pt>
                      <c:pt idx="4">
                        <c:v>12.97</c:v>
                      </c:pt>
                      <c:pt idx="5">
                        <c:v>8.4499999999999993</c:v>
                      </c:pt>
                      <c:pt idx="6">
                        <c:v>5.89</c:v>
                      </c:pt>
                      <c:pt idx="7">
                        <c:v>2.97</c:v>
                      </c:pt>
                      <c:pt idx="8">
                        <c:v>1.37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EC2-4DB2-B4DE-A2E0AF2283E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Agrxfxet80.auto!$A$9:$B$9</c15:sqref>
                        </c15:formulaRef>
                      </c:ext>
                    </c:extLst>
                    <c:strCache>
                      <c:ptCount val="2"/>
                      <c:pt idx="0">
                        <c:v>Doméstica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Agrxfxet80.auto!$C$9:$K$9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10.78</c:v>
                      </c:pt>
                      <c:pt idx="1">
                        <c:v>15.3</c:v>
                      </c:pt>
                      <c:pt idx="2">
                        <c:v>11.88</c:v>
                      </c:pt>
                      <c:pt idx="3">
                        <c:v>12.17</c:v>
                      </c:pt>
                      <c:pt idx="4">
                        <c:v>11.74</c:v>
                      </c:pt>
                      <c:pt idx="5">
                        <c:v>10.029999999999999</c:v>
                      </c:pt>
                      <c:pt idx="6">
                        <c:v>10.97</c:v>
                      </c:pt>
                      <c:pt idx="7">
                        <c:v>9.24</c:v>
                      </c:pt>
                      <c:pt idx="8">
                        <c:v>7.89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EC2-4DB2-B4DE-A2E0AF2283E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Agrxfxet80.auto!$A$11:$B$11</c15:sqref>
                        </c15:formulaRef>
                      </c:ext>
                    </c:extLst>
                    <c:strCache>
                      <c:ptCount val="2"/>
                      <c:pt idx="0">
                        <c:v>Institucional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Agrxfxet80.auto!$C$11:$K$11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7.06</c:v>
                      </c:pt>
                      <c:pt idx="1">
                        <c:v>26.47</c:v>
                      </c:pt>
                      <c:pt idx="2">
                        <c:v>12.35</c:v>
                      </c:pt>
                      <c:pt idx="3">
                        <c:v>11.18</c:v>
                      </c:pt>
                      <c:pt idx="4">
                        <c:v>11.76</c:v>
                      </c:pt>
                      <c:pt idx="5">
                        <c:v>10</c:v>
                      </c:pt>
                      <c:pt idx="6">
                        <c:v>8.82</c:v>
                      </c:pt>
                      <c:pt idx="7">
                        <c:v>7.06</c:v>
                      </c:pt>
                      <c:pt idx="8">
                        <c:v>5.29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EC2-4DB2-B4DE-A2E0AF2283E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Agrxfxet80.auto!$A$13:$B$13</c15:sqref>
                        </c15:formulaRef>
                      </c:ext>
                    </c:extLst>
                    <c:strCache>
                      <c:ptCount val="2"/>
                      <c:pt idx="0">
                        <c:v>Misto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Agrxfxet80.auto!$C$13:$K$13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7.97</c:v>
                      </c:pt>
                      <c:pt idx="1">
                        <c:v>20.92</c:v>
                      </c:pt>
                      <c:pt idx="2">
                        <c:v>11.68</c:v>
                      </c:pt>
                      <c:pt idx="3">
                        <c:v>10.42</c:v>
                      </c:pt>
                      <c:pt idx="4">
                        <c:v>9.06</c:v>
                      </c:pt>
                      <c:pt idx="5">
                        <c:v>8.42</c:v>
                      </c:pt>
                      <c:pt idx="6">
                        <c:v>9.9600000000000009</c:v>
                      </c:pt>
                      <c:pt idx="7">
                        <c:v>11.32</c:v>
                      </c:pt>
                      <c:pt idx="8">
                        <c:v>10.24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EC2-4DB2-B4DE-A2E0AF2283E0}"/>
                  </c:ext>
                </c:extLst>
              </c15:ser>
            </c15:filteredBarSeries>
          </c:ext>
        </c:extLst>
      </c:barChart>
      <c:catAx>
        <c:axId val="6718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0096"/>
        <c:crosses val="autoZero"/>
        <c:auto val="1"/>
        <c:lblAlgn val="ctr"/>
        <c:lblOffset val="100"/>
        <c:noMultiLvlLbl val="0"/>
      </c:catAx>
      <c:valAx>
        <c:axId val="6718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2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Agrxfxet80!$A$4</c:f>
              <c:strCache>
                <c:ptCount val="1"/>
                <c:pt idx="0">
                  <c:v>Comunitária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Agrxfxet80!$C$3:$K$3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Agrxfxet80!$C$4:$K$4</c:f>
              <c:numCache>
                <c:formatCode>General</c:formatCode>
                <c:ptCount val="9"/>
                <c:pt idx="0">
                  <c:v>128</c:v>
                </c:pt>
                <c:pt idx="1">
                  <c:v>951</c:v>
                </c:pt>
                <c:pt idx="2">
                  <c:v>770</c:v>
                </c:pt>
                <c:pt idx="3">
                  <c:v>596</c:v>
                </c:pt>
                <c:pt idx="4">
                  <c:v>505</c:v>
                </c:pt>
                <c:pt idx="5">
                  <c:v>226</c:v>
                </c:pt>
                <c:pt idx="6">
                  <c:v>152</c:v>
                </c:pt>
                <c:pt idx="7">
                  <c:v>63</c:v>
                </c:pt>
                <c:pt idx="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2-4DB2-B4DE-A2E0AF2283E0}"/>
            </c:ext>
          </c:extLst>
        </c:ser>
        <c:ser>
          <c:idx val="2"/>
          <c:order val="1"/>
          <c:tx>
            <c:strRef>
              <c:f>Agrxfxet80!$A$6</c:f>
              <c:strCache>
                <c:ptCount val="1"/>
                <c:pt idx="0">
                  <c:v>Doméstica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Agrxfxet80!$C$3:$K$3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Agrxfxet80!$C$6:$K$6</c:f>
              <c:numCache>
                <c:formatCode>General</c:formatCode>
                <c:ptCount val="9"/>
                <c:pt idx="0">
                  <c:v>773</c:v>
                </c:pt>
                <c:pt idx="1">
                  <c:v>1437</c:v>
                </c:pt>
                <c:pt idx="2">
                  <c:v>1075</c:v>
                </c:pt>
                <c:pt idx="3">
                  <c:v>1156</c:v>
                </c:pt>
                <c:pt idx="4">
                  <c:v>1136</c:v>
                </c:pt>
                <c:pt idx="5">
                  <c:v>771</c:v>
                </c:pt>
                <c:pt idx="6">
                  <c:v>725</c:v>
                </c:pt>
                <c:pt idx="7">
                  <c:v>573</c:v>
                </c:pt>
                <c:pt idx="8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2-4DB2-B4DE-A2E0AF2283E0}"/>
            </c:ext>
          </c:extLst>
        </c:ser>
        <c:ser>
          <c:idx val="4"/>
          <c:order val="2"/>
          <c:tx>
            <c:strRef>
              <c:f>Agrxfxet80!$A$8</c:f>
              <c:strCache>
                <c:ptCount val="1"/>
                <c:pt idx="0">
                  <c:v>Institucional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Agrxfxet80!$C$3:$K$3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Agrxfxet80!$C$8:$K$8</c:f>
              <c:numCache>
                <c:formatCode>General</c:formatCode>
                <c:ptCount val="9"/>
                <c:pt idx="0">
                  <c:v>16</c:v>
                </c:pt>
                <c:pt idx="1">
                  <c:v>84</c:v>
                </c:pt>
                <c:pt idx="2">
                  <c:v>100</c:v>
                </c:pt>
                <c:pt idx="3">
                  <c:v>91</c:v>
                </c:pt>
                <c:pt idx="4">
                  <c:v>70</c:v>
                </c:pt>
                <c:pt idx="5">
                  <c:v>30</c:v>
                </c:pt>
                <c:pt idx="6">
                  <c:v>18</c:v>
                </c:pt>
                <c:pt idx="7">
                  <c:v>13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C2-4DB2-B4DE-A2E0AF2283E0}"/>
            </c:ext>
          </c:extLst>
        </c:ser>
        <c:ser>
          <c:idx val="6"/>
          <c:order val="3"/>
          <c:tx>
            <c:strRef>
              <c:f>Agrxfxet80!$A$10</c:f>
              <c:strCache>
                <c:ptCount val="1"/>
                <c:pt idx="0">
                  <c:v>Misto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Agrxfxet80!$C$3:$K$3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Agrxfxet80!$C$10:$K$10</c:f>
              <c:numCache>
                <c:formatCode>General</c:formatCode>
                <c:ptCount val="9"/>
                <c:pt idx="0">
                  <c:v>186</c:v>
                </c:pt>
                <c:pt idx="1">
                  <c:v>539</c:v>
                </c:pt>
                <c:pt idx="2">
                  <c:v>285</c:v>
                </c:pt>
                <c:pt idx="3">
                  <c:v>250</c:v>
                </c:pt>
                <c:pt idx="4">
                  <c:v>265</c:v>
                </c:pt>
                <c:pt idx="5">
                  <c:v>199</c:v>
                </c:pt>
                <c:pt idx="6">
                  <c:v>203</c:v>
                </c:pt>
                <c:pt idx="7">
                  <c:v>165</c:v>
                </c:pt>
                <c:pt idx="8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C2-4DB2-B4DE-A2E0AF22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1812272"/>
        <c:axId val="671814448"/>
        <c:extLst/>
      </c:barChart>
      <c:catAx>
        <c:axId val="67181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4448"/>
        <c:crosses val="autoZero"/>
        <c:auto val="1"/>
        <c:lblAlgn val="ctr"/>
        <c:lblOffset val="100"/>
        <c:noMultiLvlLbl val="0"/>
      </c:catAx>
      <c:valAx>
        <c:axId val="67181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fxet80_agre.auto!$C$3</c:f>
              <c:strCache>
                <c:ptCount val="1"/>
                <c:pt idx="0">
                  <c:v>Doméstica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fxet80_agre.auto!$A$4:$A$20</c15:sqref>
                  </c15:fullRef>
                </c:ext>
              </c:extLst>
              <c:f>(fxet80_agre.auto!$A$4,fxet80_agre.auto!$A$6,fxet80_agre.auto!$A$8,fxet80_agre.auto!$A$10,fxet80_agre.auto!$A$12,fxet80_agre.auto!$A$14,fxet80_agre.auto!$A$16,fxet80_agre.auto!$A$18,fxet80_agre.auto!$A$20)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fxet80_agre.auto!$C$4:$C$20</c15:sqref>
                  </c15:fullRef>
                </c:ext>
              </c:extLst>
              <c:f>(fxet80_agre.auto!$C$4,fxet80_agre.auto!$C$6,fxet80_agre.auto!$C$8,fxet80_agre.auto!$C$10,fxet80_agre.auto!$C$12,fxet80_agre.auto!$C$14,fxet80_agre.auto!$C$16,fxet80_agre.auto!$C$18,fxet80_agre.auto!$C$20)</c:f>
              <c:numCache>
                <c:formatCode>0.0</c:formatCode>
                <c:ptCount val="9"/>
                <c:pt idx="0" formatCode="General">
                  <c:v>448</c:v>
                </c:pt>
                <c:pt idx="1" formatCode="General">
                  <c:v>636</c:v>
                </c:pt>
                <c:pt idx="2" formatCode="General">
                  <c:v>494</c:v>
                </c:pt>
                <c:pt idx="3" formatCode="General">
                  <c:v>506</c:v>
                </c:pt>
                <c:pt idx="4" formatCode="General">
                  <c:v>488</c:v>
                </c:pt>
                <c:pt idx="5" formatCode="General">
                  <c:v>417</c:v>
                </c:pt>
                <c:pt idx="6" formatCode="General">
                  <c:v>456</c:v>
                </c:pt>
                <c:pt idx="7" formatCode="General">
                  <c:v>384</c:v>
                </c:pt>
                <c:pt idx="8" formatCode="General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0-497E-8FBA-E49848A7774E}"/>
            </c:ext>
          </c:extLst>
        </c:ser>
        <c:ser>
          <c:idx val="1"/>
          <c:order val="1"/>
          <c:tx>
            <c:strRef>
              <c:f>fxet80_agre.auto!$D$3</c:f>
              <c:strCache>
                <c:ptCount val="1"/>
                <c:pt idx="0">
                  <c:v>Autoprovocada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fxet80_agre.auto!$A$4:$A$20</c15:sqref>
                  </c15:fullRef>
                </c:ext>
              </c:extLst>
              <c:f>(fxet80_agre.auto!$A$4,fxet80_agre.auto!$A$6,fxet80_agre.auto!$A$8,fxet80_agre.auto!$A$10,fxet80_agre.auto!$A$12,fxet80_agre.auto!$A$14,fxet80_agre.auto!$A$16,fxet80_agre.auto!$A$18,fxet80_agre.auto!$A$20)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fxet80_agre.auto!$D$4:$D$20</c15:sqref>
                  </c15:fullRef>
                </c:ext>
              </c:extLst>
              <c:f>(fxet80_agre.auto!$D$4,fxet80_agre.auto!$D$6,fxet80_agre.auto!$D$8,fxet80_agre.auto!$D$10,fxet80_agre.auto!$D$12,fxet80_agre.auto!$D$14,fxet80_agre.auto!$D$16,fxet80_agre.auto!$D$18,fxet80_agre.auto!$D$20)</c:f>
              <c:numCache>
                <c:formatCode>0.0</c:formatCode>
                <c:ptCount val="9"/>
                <c:pt idx="0" formatCode="General">
                  <c:v>17</c:v>
                </c:pt>
                <c:pt idx="1" formatCode="General">
                  <c:v>697</c:v>
                </c:pt>
                <c:pt idx="2" formatCode="General">
                  <c:v>725</c:v>
                </c:pt>
                <c:pt idx="3" formatCode="General">
                  <c:v>620</c:v>
                </c:pt>
                <c:pt idx="4" formatCode="General">
                  <c:v>463</c:v>
                </c:pt>
                <c:pt idx="5" formatCode="General">
                  <c:v>234</c:v>
                </c:pt>
                <c:pt idx="6" formatCode="General">
                  <c:v>95</c:v>
                </c:pt>
                <c:pt idx="7" formatCode="General">
                  <c:v>49</c:v>
                </c:pt>
                <c:pt idx="8" formatCode="General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C0-497E-8FBA-E49848A7774E}"/>
            </c:ext>
          </c:extLst>
        </c:ser>
        <c:ser>
          <c:idx val="2"/>
          <c:order val="2"/>
          <c:tx>
            <c:strRef>
              <c:f>fxet80_agre.auto!$E$3</c:f>
              <c:strCache>
                <c:ptCount val="1"/>
                <c:pt idx="0">
                  <c:v>Comunitária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fxet80_agre.auto!$A$4:$A$20</c15:sqref>
                  </c15:fullRef>
                </c:ext>
              </c:extLst>
              <c:f>(fxet80_agre.auto!$A$4,fxet80_agre.auto!$A$6,fxet80_agre.auto!$A$8,fxet80_agre.auto!$A$10,fxet80_agre.auto!$A$12,fxet80_agre.auto!$A$14,fxet80_agre.auto!$A$16,fxet80_agre.auto!$A$18,fxet80_agre.auto!$A$20)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fxet80_agre.auto!$E$4:$E$20</c15:sqref>
                  </c15:fullRef>
                </c:ext>
              </c:extLst>
              <c:f>(fxet80_agre.auto!$E$4,fxet80_agre.auto!$E$6,fxet80_agre.auto!$E$8,fxet80_agre.auto!$E$10,fxet80_agre.auto!$E$12,fxet80_agre.auto!$E$14,fxet80_agre.auto!$E$16,fxet80_agre.auto!$E$18,fxet80_agre.auto!$E$20)</c:f>
              <c:numCache>
                <c:formatCode>0.0</c:formatCode>
                <c:ptCount val="9"/>
                <c:pt idx="0" formatCode="General">
                  <c:v>77</c:v>
                </c:pt>
                <c:pt idx="1" formatCode="General">
                  <c:v>464</c:v>
                </c:pt>
                <c:pt idx="2" formatCode="General">
                  <c:v>321</c:v>
                </c:pt>
                <c:pt idx="3" formatCode="General">
                  <c:v>287</c:v>
                </c:pt>
                <c:pt idx="4" formatCode="General">
                  <c:v>218</c:v>
                </c:pt>
                <c:pt idx="5" formatCode="General">
                  <c:v>142</c:v>
                </c:pt>
                <c:pt idx="6" formatCode="General">
                  <c:v>99</c:v>
                </c:pt>
                <c:pt idx="7" formatCode="General">
                  <c:v>50</c:v>
                </c:pt>
                <c:pt idx="8" formatCode="General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C0-497E-8FBA-E49848A7774E}"/>
            </c:ext>
          </c:extLst>
        </c:ser>
        <c:ser>
          <c:idx val="3"/>
          <c:order val="3"/>
          <c:tx>
            <c:strRef>
              <c:f>fxet80_agre.auto!$F$3</c:f>
              <c:strCache>
                <c:ptCount val="1"/>
                <c:pt idx="0">
                  <c:v>Misto*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fxet80_agre.auto!$A$4:$A$20</c15:sqref>
                  </c15:fullRef>
                </c:ext>
              </c:extLst>
              <c:f>(fxet80_agre.auto!$A$4,fxet80_agre.auto!$A$6,fxet80_agre.auto!$A$8,fxet80_agre.auto!$A$10,fxet80_agre.auto!$A$12,fxet80_agre.auto!$A$14,fxet80_agre.auto!$A$16,fxet80_agre.auto!$A$18,fxet80_agre.auto!$A$20)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fxet80_agre.auto!$F$4:$F$20</c15:sqref>
                  </c15:fullRef>
                </c:ext>
              </c:extLst>
              <c:f>(fxet80_agre.auto!$F$4,fxet80_agre.auto!$F$6,fxet80_agre.auto!$F$8,fxet80_agre.auto!$F$10,fxet80_agre.auto!$F$12,fxet80_agre.auto!$F$14,fxet80_agre.auto!$F$16,fxet80_agre.auto!$F$18,fxet80_agre.auto!$F$20)</c:f>
              <c:numCache>
                <c:formatCode>0.0</c:formatCode>
                <c:ptCount val="9"/>
                <c:pt idx="0" formatCode="General">
                  <c:v>88</c:v>
                </c:pt>
                <c:pt idx="1" formatCode="General">
                  <c:v>231</c:v>
                </c:pt>
                <c:pt idx="2" formatCode="General">
                  <c:v>129</c:v>
                </c:pt>
                <c:pt idx="3" formatCode="General">
                  <c:v>115</c:v>
                </c:pt>
                <c:pt idx="4" formatCode="General">
                  <c:v>100</c:v>
                </c:pt>
                <c:pt idx="5" formatCode="General">
                  <c:v>93</c:v>
                </c:pt>
                <c:pt idx="6" formatCode="General">
                  <c:v>110</c:v>
                </c:pt>
                <c:pt idx="7" formatCode="General">
                  <c:v>125</c:v>
                </c:pt>
                <c:pt idx="8" formatCode="General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0-497E-8FBA-E49848A7774E}"/>
            </c:ext>
          </c:extLst>
        </c:ser>
        <c:ser>
          <c:idx val="4"/>
          <c:order val="4"/>
          <c:tx>
            <c:strRef>
              <c:f>fxet80_agre.auto!$G$3</c:f>
              <c:strCache>
                <c:ptCount val="1"/>
                <c:pt idx="0">
                  <c:v>Institucional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fxet80_agre.auto!$A$4:$A$20</c15:sqref>
                  </c15:fullRef>
                </c:ext>
              </c:extLst>
              <c:f>(fxet80_agre.auto!$A$4,fxet80_agre.auto!$A$6,fxet80_agre.auto!$A$8,fxet80_agre.auto!$A$10,fxet80_agre.auto!$A$12,fxet80_agre.auto!$A$14,fxet80_agre.auto!$A$16,fxet80_agre.auto!$A$18,fxet80_agre.auto!$A$20)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fxet80_agre.auto!$G$4:$G$20</c15:sqref>
                  </c15:fullRef>
                </c:ext>
              </c:extLst>
              <c:f>(fxet80_agre.auto!$G$4,fxet80_agre.auto!$G$6,fxet80_agre.auto!$G$8,fxet80_agre.auto!$G$10,fxet80_agre.auto!$G$12,fxet80_agre.auto!$G$14,fxet80_agre.auto!$G$16,fxet80_agre.auto!$G$18,fxet80_agre.auto!$G$20)</c:f>
              <c:numCache>
                <c:formatCode>0.0</c:formatCode>
                <c:ptCount val="9"/>
                <c:pt idx="0" formatCode="General">
                  <c:v>12</c:v>
                </c:pt>
                <c:pt idx="1" formatCode="General">
                  <c:v>45</c:v>
                </c:pt>
                <c:pt idx="2" formatCode="General">
                  <c:v>21</c:v>
                </c:pt>
                <c:pt idx="3" formatCode="General">
                  <c:v>19</c:v>
                </c:pt>
                <c:pt idx="4" formatCode="General">
                  <c:v>20</c:v>
                </c:pt>
                <c:pt idx="5" formatCode="General">
                  <c:v>17</c:v>
                </c:pt>
                <c:pt idx="6" formatCode="General">
                  <c:v>15</c:v>
                </c:pt>
                <c:pt idx="7" formatCode="General">
                  <c:v>12</c:v>
                </c:pt>
                <c:pt idx="8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C0-497E-8FBA-E49848A77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71822064"/>
        <c:axId val="671806832"/>
      </c:barChart>
      <c:catAx>
        <c:axId val="6718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06832"/>
        <c:crosses val="autoZero"/>
        <c:auto val="1"/>
        <c:lblAlgn val="ctr"/>
        <c:lblOffset val="100"/>
        <c:noMultiLvlLbl val="0"/>
      </c:catAx>
      <c:valAx>
        <c:axId val="6718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2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fxet80_agre.auto!$C$3</c:f>
              <c:strCache>
                <c:ptCount val="1"/>
                <c:pt idx="0">
                  <c:v>Doméstica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fxet80_agre.auto!$A$31:$A$48</c15:sqref>
                  </c15:fullRef>
                </c:ext>
              </c:extLst>
              <c:f>(fxet80_agre.auto!$A$31,fxet80_agre.auto!$A$33,fxet80_agre.auto!$A$35,fxet80_agre.auto!$A$37,fxet80_agre.auto!$A$39,fxet80_agre.auto!$A$41,fxet80_agre.auto!$A$43,fxet80_agre.auto!$A$45,fxet80_agre.auto!$A$47)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fxet80_agre.auto!$C$31:$C$48</c15:sqref>
                  </c15:fullRef>
                </c:ext>
              </c:extLst>
              <c:f>(fxet80_agre.auto!$C$31,fxet80_agre.auto!$C$33,fxet80_agre.auto!$C$35,fxet80_agre.auto!$C$37,fxet80_agre.auto!$C$39,fxet80_agre.auto!$C$41,fxet80_agre.auto!$C$43,fxet80_agre.auto!$C$45,fxet80_agre.auto!$C$47)</c:f>
              <c:numCache>
                <c:formatCode>0.0</c:formatCode>
                <c:ptCount val="9"/>
                <c:pt idx="0" formatCode="General">
                  <c:v>205</c:v>
                </c:pt>
                <c:pt idx="1" formatCode="General">
                  <c:v>371</c:v>
                </c:pt>
                <c:pt idx="2" formatCode="General">
                  <c:v>377</c:v>
                </c:pt>
                <c:pt idx="3" formatCode="General">
                  <c:v>409</c:v>
                </c:pt>
                <c:pt idx="4" formatCode="General">
                  <c:v>400</c:v>
                </c:pt>
                <c:pt idx="5" formatCode="General">
                  <c:v>294</c:v>
                </c:pt>
                <c:pt idx="6" formatCode="General">
                  <c:v>269</c:v>
                </c:pt>
                <c:pt idx="7" formatCode="General">
                  <c:v>233</c:v>
                </c:pt>
                <c:pt idx="8" formatCode="General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6-474E-AE29-ABCE59B5C0BC}"/>
            </c:ext>
          </c:extLst>
        </c:ser>
        <c:ser>
          <c:idx val="1"/>
          <c:order val="1"/>
          <c:tx>
            <c:strRef>
              <c:f>fxet80_agre.auto!$D$3</c:f>
              <c:strCache>
                <c:ptCount val="1"/>
                <c:pt idx="0">
                  <c:v>Autoprovocada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fxet80_agre.auto!$A$31:$A$48</c15:sqref>
                  </c15:fullRef>
                </c:ext>
              </c:extLst>
              <c:f>(fxet80_agre.auto!$A$31,fxet80_agre.auto!$A$33,fxet80_agre.auto!$A$35,fxet80_agre.auto!$A$37,fxet80_agre.auto!$A$39,fxet80_agre.auto!$A$41,fxet80_agre.auto!$A$43,fxet80_agre.auto!$A$45,fxet80_agre.auto!$A$47)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fxet80_agre.auto!$D$31:$D$48</c15:sqref>
                  </c15:fullRef>
                </c:ext>
              </c:extLst>
              <c:f>(fxet80_agre.auto!$D$31,fxet80_agre.auto!$D$33,fxet80_agre.auto!$D$35,fxet80_agre.auto!$D$37,fxet80_agre.auto!$D$39,fxet80_agre.auto!$D$41,fxet80_agre.auto!$D$43,fxet80_agre.auto!$D$45,fxet80_agre.auto!$D$47)</c:f>
              <c:numCache>
                <c:formatCode>0.0</c:formatCode>
                <c:ptCount val="9"/>
                <c:pt idx="0" formatCode="General">
                  <c:v>7</c:v>
                </c:pt>
                <c:pt idx="1" formatCode="General">
                  <c:v>499</c:v>
                </c:pt>
                <c:pt idx="2" formatCode="General">
                  <c:v>445</c:v>
                </c:pt>
                <c:pt idx="3" formatCode="General">
                  <c:v>362</c:v>
                </c:pt>
                <c:pt idx="4" formatCode="General">
                  <c:v>287</c:v>
                </c:pt>
                <c:pt idx="5" formatCode="General">
                  <c:v>151</c:v>
                </c:pt>
                <c:pt idx="6" formatCode="General">
                  <c:v>42</c:v>
                </c:pt>
                <c:pt idx="7" formatCode="General">
                  <c:v>26</c:v>
                </c:pt>
                <c:pt idx="8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6-474E-AE29-ABCE59B5C0BC}"/>
            </c:ext>
          </c:extLst>
        </c:ser>
        <c:ser>
          <c:idx val="2"/>
          <c:order val="2"/>
          <c:tx>
            <c:strRef>
              <c:f>fxet80_agre.auto!$E$3</c:f>
              <c:strCache>
                <c:ptCount val="1"/>
                <c:pt idx="0">
                  <c:v>Comunitária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fxet80_agre.auto!$A$31:$A$48</c15:sqref>
                  </c15:fullRef>
                </c:ext>
              </c:extLst>
              <c:f>(fxet80_agre.auto!$A$31,fxet80_agre.auto!$A$33,fxet80_agre.auto!$A$35,fxet80_agre.auto!$A$37,fxet80_agre.auto!$A$39,fxet80_agre.auto!$A$41,fxet80_agre.auto!$A$43,fxet80_agre.auto!$A$45,fxet80_agre.auto!$A$47)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fxet80_agre.auto!$E$31:$E$48</c15:sqref>
                  </c15:fullRef>
                </c:ext>
              </c:extLst>
              <c:f>(fxet80_agre.auto!$E$31,fxet80_agre.auto!$E$33,fxet80_agre.auto!$E$35,fxet80_agre.auto!$E$37,fxet80_agre.auto!$E$39,fxet80_agre.auto!$E$41,fxet80_agre.auto!$E$43,fxet80_agre.auto!$E$45,fxet80_agre.auto!$E$47)</c:f>
              <c:numCache>
                <c:formatCode>0.0</c:formatCode>
                <c:ptCount val="9"/>
                <c:pt idx="0" formatCode="General">
                  <c:v>37</c:v>
                </c:pt>
                <c:pt idx="1" formatCode="General">
                  <c:v>315</c:v>
                </c:pt>
                <c:pt idx="2" formatCode="General">
                  <c:v>225</c:v>
                </c:pt>
                <c:pt idx="3" formatCode="General">
                  <c:v>163</c:v>
                </c:pt>
                <c:pt idx="4" formatCode="General">
                  <c:v>124</c:v>
                </c:pt>
                <c:pt idx="5" formatCode="General">
                  <c:v>81</c:v>
                </c:pt>
                <c:pt idx="6" formatCode="General">
                  <c:v>41</c:v>
                </c:pt>
                <c:pt idx="7" formatCode="General">
                  <c:v>21</c:v>
                </c:pt>
                <c:pt idx="8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86-474E-AE29-ABCE59B5C0BC}"/>
            </c:ext>
          </c:extLst>
        </c:ser>
        <c:ser>
          <c:idx val="3"/>
          <c:order val="3"/>
          <c:tx>
            <c:strRef>
              <c:f>fxet80_agre.auto!$F$3</c:f>
              <c:strCache>
                <c:ptCount val="1"/>
                <c:pt idx="0">
                  <c:v>Misto*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fxet80_agre.auto!$A$31:$A$48</c15:sqref>
                  </c15:fullRef>
                </c:ext>
              </c:extLst>
              <c:f>(fxet80_agre.auto!$A$31,fxet80_agre.auto!$A$33,fxet80_agre.auto!$A$35,fxet80_agre.auto!$A$37,fxet80_agre.auto!$A$39,fxet80_agre.auto!$A$41,fxet80_agre.auto!$A$43,fxet80_agre.auto!$A$45,fxet80_agre.auto!$A$47)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fxet80_agre.auto!$F$31:$F$48</c15:sqref>
                  </c15:fullRef>
                </c:ext>
              </c:extLst>
              <c:f>(fxet80_agre.auto!$F$31,fxet80_agre.auto!$F$33,fxet80_agre.auto!$F$35,fxet80_agre.auto!$F$37,fxet80_agre.auto!$F$39,fxet80_agre.auto!$F$41,fxet80_agre.auto!$F$43,fxet80_agre.auto!$F$45,fxet80_agre.auto!$F$47)</c:f>
              <c:numCache>
                <c:formatCode>0.0</c:formatCode>
                <c:ptCount val="9"/>
                <c:pt idx="0" formatCode="General">
                  <c:v>49</c:v>
                </c:pt>
                <c:pt idx="1" formatCode="General">
                  <c:v>162</c:v>
                </c:pt>
                <c:pt idx="2" formatCode="General">
                  <c:v>92</c:v>
                </c:pt>
                <c:pt idx="3" formatCode="General">
                  <c:v>83</c:v>
                </c:pt>
                <c:pt idx="4" formatCode="General">
                  <c:v>60</c:v>
                </c:pt>
                <c:pt idx="5" formatCode="General">
                  <c:v>53</c:v>
                </c:pt>
                <c:pt idx="6" formatCode="General">
                  <c:v>54</c:v>
                </c:pt>
                <c:pt idx="7" formatCode="General">
                  <c:v>67</c:v>
                </c:pt>
                <c:pt idx="8" formatCode="General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86-474E-AE29-ABCE59B5C0BC}"/>
            </c:ext>
          </c:extLst>
        </c:ser>
        <c:ser>
          <c:idx val="4"/>
          <c:order val="4"/>
          <c:tx>
            <c:strRef>
              <c:f>fxet80_agre.auto!$G$3</c:f>
              <c:strCache>
                <c:ptCount val="1"/>
                <c:pt idx="0">
                  <c:v>Institucional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fxet80_agre.auto!$A$31:$A$48</c15:sqref>
                  </c15:fullRef>
                </c:ext>
              </c:extLst>
              <c:f>(fxet80_agre.auto!$A$31,fxet80_agre.auto!$A$33,fxet80_agre.auto!$A$35,fxet80_agre.auto!$A$37,fxet80_agre.auto!$A$39,fxet80_agre.auto!$A$41,fxet80_agre.auto!$A$43,fxet80_agre.auto!$A$45,fxet80_agre.auto!$A$47)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fxet80_agre.auto!$G$31:$G$48</c15:sqref>
                  </c15:fullRef>
                </c:ext>
              </c:extLst>
              <c:f>(fxet80_agre.auto!$G$31,fxet80_agre.auto!$G$33,fxet80_agre.auto!$G$35,fxet80_agre.auto!$G$37,fxet80_agre.auto!$G$39,fxet80_agre.auto!$G$41,fxet80_agre.auto!$G$43,fxet80_agre.auto!$G$45,fxet80_agre.auto!$G$47)</c:f>
              <c:numCache>
                <c:formatCode>0.0</c:formatCode>
                <c:ptCount val="9"/>
                <c:pt idx="0" formatCode="General">
                  <c:v>2</c:v>
                </c:pt>
                <c:pt idx="1" formatCode="General">
                  <c:v>18</c:v>
                </c:pt>
                <c:pt idx="2" formatCode="General">
                  <c:v>10</c:v>
                </c:pt>
                <c:pt idx="3" formatCode="General">
                  <c:v>10</c:v>
                </c:pt>
                <c:pt idx="4" formatCode="General">
                  <c:v>13</c:v>
                </c:pt>
                <c:pt idx="5" formatCode="General">
                  <c:v>10</c:v>
                </c:pt>
                <c:pt idx="6" formatCode="General">
                  <c:v>5</c:v>
                </c:pt>
                <c:pt idx="7" formatCode="General">
                  <c:v>6</c:v>
                </c:pt>
                <c:pt idx="8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86-474E-AE29-ABCE59B5C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71816080"/>
        <c:axId val="671815536"/>
      </c:barChart>
      <c:catAx>
        <c:axId val="6718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5536"/>
        <c:crosses val="autoZero"/>
        <c:auto val="1"/>
        <c:lblAlgn val="ctr"/>
        <c:lblOffset val="100"/>
        <c:noMultiLvlLbl val="0"/>
      </c:catAx>
      <c:valAx>
        <c:axId val="6718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634056526358299E-2"/>
          <c:y val="0.92239147752560158"/>
          <c:w val="0.86998763952163294"/>
          <c:h val="5.7252293815713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fxet80_agre.auto!$C$3</c:f>
              <c:strCache>
                <c:ptCount val="1"/>
                <c:pt idx="0">
                  <c:v>Doméstica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fxet80_agre.auto!$A$58:$A$74</c15:sqref>
                  </c15:fullRef>
                </c:ext>
              </c:extLst>
              <c:f>(fxet80_agre.auto!$A$58,fxet80_agre.auto!$A$60,fxet80_agre.auto!$A$62,fxet80_agre.auto!$A$64,fxet80_agre.auto!$A$66,fxet80_agre.auto!$A$68,fxet80_agre.auto!$A$70,fxet80_agre.auto!$A$72,fxet80_agre.auto!$A$74)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fxet80_agre.auto!$C$58:$C$74</c15:sqref>
                  </c15:fullRef>
                </c:ext>
              </c:extLst>
              <c:f>(fxet80_agre.auto!$C$58,fxet80_agre.auto!$C$60,fxet80_agre.auto!$C$62,fxet80_agre.auto!$C$64,fxet80_agre.auto!$C$66,fxet80_agre.auto!$C$68,fxet80_agre.auto!$C$70,fxet80_agre.auto!$C$72,fxet80_agre.auto!$C$74)</c:f>
              <c:numCache>
                <c:formatCode>0.0</c:formatCode>
                <c:ptCount val="9"/>
                <c:pt idx="0" formatCode="General">
                  <c:v>243</c:v>
                </c:pt>
                <c:pt idx="1" formatCode="General">
                  <c:v>265</c:v>
                </c:pt>
                <c:pt idx="2" formatCode="General">
                  <c:v>117</c:v>
                </c:pt>
                <c:pt idx="3" formatCode="General">
                  <c:v>97</c:v>
                </c:pt>
                <c:pt idx="4" formatCode="General">
                  <c:v>88</c:v>
                </c:pt>
                <c:pt idx="5" formatCode="General">
                  <c:v>123</c:v>
                </c:pt>
                <c:pt idx="6" formatCode="General">
                  <c:v>187</c:v>
                </c:pt>
                <c:pt idx="7" formatCode="General">
                  <c:v>151</c:v>
                </c:pt>
                <c:pt idx="8" formatCode="General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1-4C41-8F01-E4878A5E30C4}"/>
            </c:ext>
          </c:extLst>
        </c:ser>
        <c:ser>
          <c:idx val="1"/>
          <c:order val="1"/>
          <c:tx>
            <c:strRef>
              <c:f>fxet80_agre.auto!$D$3</c:f>
              <c:strCache>
                <c:ptCount val="1"/>
                <c:pt idx="0">
                  <c:v>Autoprovocada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fxet80_agre.auto!$A$58:$A$74</c15:sqref>
                  </c15:fullRef>
                </c:ext>
              </c:extLst>
              <c:f>(fxet80_agre.auto!$A$58,fxet80_agre.auto!$A$60,fxet80_agre.auto!$A$62,fxet80_agre.auto!$A$64,fxet80_agre.auto!$A$66,fxet80_agre.auto!$A$68,fxet80_agre.auto!$A$70,fxet80_agre.auto!$A$72,fxet80_agre.auto!$A$74)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fxet80_agre.auto!$D$58:$D$74</c15:sqref>
                  </c15:fullRef>
                </c:ext>
              </c:extLst>
              <c:f>(fxet80_agre.auto!$D$58,fxet80_agre.auto!$D$60,fxet80_agre.auto!$D$62,fxet80_agre.auto!$D$64,fxet80_agre.auto!$D$66,fxet80_agre.auto!$D$68,fxet80_agre.auto!$D$70,fxet80_agre.auto!$D$72,fxet80_agre.auto!$D$74)</c:f>
              <c:numCache>
                <c:formatCode>0.0</c:formatCode>
                <c:ptCount val="9"/>
                <c:pt idx="0" formatCode="General">
                  <c:v>10</c:v>
                </c:pt>
                <c:pt idx="1" formatCode="General">
                  <c:v>198</c:v>
                </c:pt>
                <c:pt idx="2" formatCode="General">
                  <c:v>280</c:v>
                </c:pt>
                <c:pt idx="3" formatCode="General">
                  <c:v>258</c:v>
                </c:pt>
                <c:pt idx="4" formatCode="General">
                  <c:v>176</c:v>
                </c:pt>
                <c:pt idx="5" formatCode="General">
                  <c:v>83</c:v>
                </c:pt>
                <c:pt idx="6" formatCode="General">
                  <c:v>53</c:v>
                </c:pt>
                <c:pt idx="7" formatCode="General">
                  <c:v>23</c:v>
                </c:pt>
                <c:pt idx="8" formatCode="General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1-4C41-8F01-E4878A5E30C4}"/>
            </c:ext>
          </c:extLst>
        </c:ser>
        <c:ser>
          <c:idx val="2"/>
          <c:order val="2"/>
          <c:tx>
            <c:strRef>
              <c:f>fxet80_agre.auto!$E$3</c:f>
              <c:strCache>
                <c:ptCount val="1"/>
                <c:pt idx="0">
                  <c:v>Comunitária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fxet80_agre.auto!$A$58:$A$74</c15:sqref>
                  </c15:fullRef>
                </c:ext>
              </c:extLst>
              <c:f>(fxet80_agre.auto!$A$58,fxet80_agre.auto!$A$60,fxet80_agre.auto!$A$62,fxet80_agre.auto!$A$64,fxet80_agre.auto!$A$66,fxet80_agre.auto!$A$68,fxet80_agre.auto!$A$70,fxet80_agre.auto!$A$72,fxet80_agre.auto!$A$74)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fxet80_agre.auto!$E$58:$E$74</c15:sqref>
                  </c15:fullRef>
                </c:ext>
              </c:extLst>
              <c:f>(fxet80_agre.auto!$E$58,fxet80_agre.auto!$E$60,fxet80_agre.auto!$E$62,fxet80_agre.auto!$E$64,fxet80_agre.auto!$E$66,fxet80_agre.auto!$E$68,fxet80_agre.auto!$E$70,fxet80_agre.auto!$E$72,fxet80_agre.auto!$E$74)</c:f>
              <c:numCache>
                <c:formatCode>0.0</c:formatCode>
                <c:ptCount val="9"/>
                <c:pt idx="0" formatCode="General">
                  <c:v>40</c:v>
                </c:pt>
                <c:pt idx="1" formatCode="General">
                  <c:v>149</c:v>
                </c:pt>
                <c:pt idx="2" formatCode="General">
                  <c:v>96</c:v>
                </c:pt>
                <c:pt idx="3" formatCode="General">
                  <c:v>124</c:v>
                </c:pt>
                <c:pt idx="4" formatCode="General">
                  <c:v>94</c:v>
                </c:pt>
                <c:pt idx="5" formatCode="General">
                  <c:v>61</c:v>
                </c:pt>
                <c:pt idx="6" formatCode="General">
                  <c:v>58</c:v>
                </c:pt>
                <c:pt idx="7" formatCode="General">
                  <c:v>29</c:v>
                </c:pt>
                <c:pt idx="8" formatCode="General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1-4C41-8F01-E4878A5E30C4}"/>
            </c:ext>
          </c:extLst>
        </c:ser>
        <c:ser>
          <c:idx val="3"/>
          <c:order val="3"/>
          <c:tx>
            <c:strRef>
              <c:f>fxet80_agre.auto!$F$3</c:f>
              <c:strCache>
                <c:ptCount val="1"/>
                <c:pt idx="0">
                  <c:v>Misto*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fxet80_agre.auto!$A$58:$A$74</c15:sqref>
                  </c15:fullRef>
                </c:ext>
              </c:extLst>
              <c:f>(fxet80_agre.auto!$A$58,fxet80_agre.auto!$A$60,fxet80_agre.auto!$A$62,fxet80_agre.auto!$A$64,fxet80_agre.auto!$A$66,fxet80_agre.auto!$A$68,fxet80_agre.auto!$A$70,fxet80_agre.auto!$A$72,fxet80_agre.auto!$A$74)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fxet80_agre.auto!$F$58:$F$74</c15:sqref>
                  </c15:fullRef>
                </c:ext>
              </c:extLst>
              <c:f>(fxet80_agre.auto!$F$58,fxet80_agre.auto!$F$60,fxet80_agre.auto!$F$62,fxet80_agre.auto!$F$64,fxet80_agre.auto!$F$66,fxet80_agre.auto!$F$68,fxet80_agre.auto!$F$70,fxet80_agre.auto!$F$72,fxet80_agre.auto!$F$74)</c:f>
              <c:numCache>
                <c:formatCode>0.0</c:formatCode>
                <c:ptCount val="9"/>
                <c:pt idx="0" formatCode="General">
                  <c:v>39</c:v>
                </c:pt>
                <c:pt idx="1" formatCode="General">
                  <c:v>69</c:v>
                </c:pt>
                <c:pt idx="2" formatCode="General">
                  <c:v>37</c:v>
                </c:pt>
                <c:pt idx="3" formatCode="General">
                  <c:v>32</c:v>
                </c:pt>
                <c:pt idx="4" formatCode="General">
                  <c:v>40</c:v>
                </c:pt>
                <c:pt idx="5" formatCode="General">
                  <c:v>40</c:v>
                </c:pt>
                <c:pt idx="6" formatCode="General">
                  <c:v>56</c:v>
                </c:pt>
                <c:pt idx="7" formatCode="General">
                  <c:v>58</c:v>
                </c:pt>
                <c:pt idx="8" formatCode="General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11-4C41-8F01-E4878A5E30C4}"/>
            </c:ext>
          </c:extLst>
        </c:ser>
        <c:ser>
          <c:idx val="4"/>
          <c:order val="4"/>
          <c:tx>
            <c:strRef>
              <c:f>fxet80_agre.auto!$G$3</c:f>
              <c:strCache>
                <c:ptCount val="1"/>
                <c:pt idx="0">
                  <c:v>Institucional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fxet80_agre.auto!$A$58:$A$74</c15:sqref>
                  </c15:fullRef>
                </c:ext>
              </c:extLst>
              <c:f>(fxet80_agre.auto!$A$58,fxet80_agre.auto!$A$60,fxet80_agre.auto!$A$62,fxet80_agre.auto!$A$64,fxet80_agre.auto!$A$66,fxet80_agre.auto!$A$68,fxet80_agre.auto!$A$70,fxet80_agre.auto!$A$72,fxet80_agre.auto!$A$74)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fxet80_agre.auto!$G$58:$G$74</c15:sqref>
                  </c15:fullRef>
                </c:ext>
              </c:extLst>
              <c:f>(fxet80_agre.auto!$G$58,fxet80_agre.auto!$G$60,fxet80_agre.auto!$G$62,fxet80_agre.auto!$G$64,fxet80_agre.auto!$G$66,fxet80_agre.auto!$G$68,fxet80_agre.auto!$G$70,fxet80_agre.auto!$G$72,fxet80_agre.auto!$G$74)</c:f>
              <c:numCache>
                <c:formatCode>0.0</c:formatCode>
                <c:ptCount val="9"/>
                <c:pt idx="0" formatCode="General">
                  <c:v>10</c:v>
                </c:pt>
                <c:pt idx="1" formatCode="General">
                  <c:v>27</c:v>
                </c:pt>
                <c:pt idx="2" formatCode="General">
                  <c:v>11</c:v>
                </c:pt>
                <c:pt idx="3" formatCode="General">
                  <c:v>9</c:v>
                </c:pt>
                <c:pt idx="4" formatCode="General">
                  <c:v>7</c:v>
                </c:pt>
                <c:pt idx="5" formatCode="General">
                  <c:v>7</c:v>
                </c:pt>
                <c:pt idx="6" formatCode="General">
                  <c:v>10</c:v>
                </c:pt>
                <c:pt idx="7" formatCode="General">
                  <c:v>6</c:v>
                </c:pt>
                <c:pt idx="8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11-4C41-8F01-E4878A5E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71816624"/>
        <c:axId val="541752704"/>
      </c:barChart>
      <c:catAx>
        <c:axId val="67181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2704"/>
        <c:crosses val="autoZero"/>
        <c:auto val="1"/>
        <c:lblAlgn val="ctr"/>
        <c:lblOffset val="100"/>
        <c:noMultiLvlLbl val="0"/>
      </c:catAx>
      <c:valAx>
        <c:axId val="54175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81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634056526358299E-2"/>
          <c:y val="0.92239147752560158"/>
          <c:w val="0.86998763952163294"/>
          <c:h val="5.7252293815713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tipodef_t_violência!$A$4</c:f>
              <c:strCache>
                <c:ptCount val="1"/>
                <c:pt idx="0">
                  <c:v>Trans. Mental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tipodef_t_violência!$C$3:$G$3</c:f>
              <c:strCache>
                <c:ptCount val="5"/>
                <c:pt idx="0">
                  <c:v>V.  Física</c:v>
                </c:pt>
                <c:pt idx="1">
                  <c:v>V. Psicol1</c:v>
                </c:pt>
                <c:pt idx="2">
                  <c:v>Neglig/aband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tipodef_t_violência!$C$4:$G$4</c:f>
              <c:numCache>
                <c:formatCode>0</c:formatCode>
                <c:ptCount val="5"/>
                <c:pt idx="0">
                  <c:v>5485</c:v>
                </c:pt>
                <c:pt idx="1">
                  <c:v>3166</c:v>
                </c:pt>
                <c:pt idx="2">
                  <c:v>1279</c:v>
                </c:pt>
                <c:pt idx="3" formatCode="General">
                  <c:v>607</c:v>
                </c:pt>
                <c:pt idx="4">
                  <c:v>2378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E-486A-8C4C-BC7B52CD31A9}"/>
            </c:ext>
          </c:extLst>
        </c:ser>
        <c:ser>
          <c:idx val="2"/>
          <c:order val="1"/>
          <c:tx>
            <c:strRef>
              <c:f>tipodef_t_violência!$A$6</c:f>
              <c:strCache>
                <c:ptCount val="1"/>
                <c:pt idx="0">
                  <c:v>Múltipla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tipodef_t_violência!$C$3:$G$3</c:f>
              <c:strCache>
                <c:ptCount val="5"/>
                <c:pt idx="0">
                  <c:v>V.  Física</c:v>
                </c:pt>
                <c:pt idx="1">
                  <c:v>V. Psicol1</c:v>
                </c:pt>
                <c:pt idx="2">
                  <c:v>Neglig/aband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tipodef_t_violência!$C$6:$G$6</c:f>
              <c:numCache>
                <c:formatCode>0</c:formatCode>
                <c:ptCount val="5"/>
                <c:pt idx="0">
                  <c:v>1395</c:v>
                </c:pt>
                <c:pt idx="1">
                  <c:v>946</c:v>
                </c:pt>
                <c:pt idx="2">
                  <c:v>1153</c:v>
                </c:pt>
                <c:pt idx="3" formatCode="General">
                  <c:v>269</c:v>
                </c:pt>
                <c:pt idx="4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E-486A-8C4C-BC7B52CD31A9}"/>
            </c:ext>
          </c:extLst>
        </c:ser>
        <c:ser>
          <c:idx val="4"/>
          <c:order val="2"/>
          <c:tx>
            <c:strRef>
              <c:f>tipodef_t_violência!$A$8</c:f>
              <c:strCache>
                <c:ptCount val="1"/>
                <c:pt idx="0">
                  <c:v>Física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tipodef_t_violência!$C$3:$G$3</c:f>
              <c:strCache>
                <c:ptCount val="5"/>
                <c:pt idx="0">
                  <c:v>V.  Física</c:v>
                </c:pt>
                <c:pt idx="1">
                  <c:v>V. Psicol1</c:v>
                </c:pt>
                <c:pt idx="2">
                  <c:v>Neglig/aband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tipodef_t_violência!$C$8:$G$8</c:f>
              <c:numCache>
                <c:formatCode>0</c:formatCode>
                <c:ptCount val="5"/>
                <c:pt idx="0">
                  <c:v>1592</c:v>
                </c:pt>
                <c:pt idx="1">
                  <c:v>875</c:v>
                </c:pt>
                <c:pt idx="2">
                  <c:v>978</c:v>
                </c:pt>
                <c:pt idx="3" formatCode="General">
                  <c:v>139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DE-486A-8C4C-BC7B52CD31A9}"/>
            </c:ext>
          </c:extLst>
        </c:ser>
        <c:ser>
          <c:idx val="6"/>
          <c:order val="3"/>
          <c:tx>
            <c:strRef>
              <c:f>tipodef_t_violência!$A$10</c:f>
              <c:strCache>
                <c:ptCount val="1"/>
                <c:pt idx="0">
                  <c:v>Intelectual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tipodef_t_violência!$C$3:$G$3</c:f>
              <c:strCache>
                <c:ptCount val="5"/>
                <c:pt idx="0">
                  <c:v>V.  Física</c:v>
                </c:pt>
                <c:pt idx="1">
                  <c:v>V. Psicol1</c:v>
                </c:pt>
                <c:pt idx="2">
                  <c:v>Neglig/aband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tipodef_t_violência!$C$10:$G$10</c:f>
              <c:numCache>
                <c:formatCode>0</c:formatCode>
                <c:ptCount val="5"/>
                <c:pt idx="0">
                  <c:v>1157</c:v>
                </c:pt>
                <c:pt idx="1">
                  <c:v>692</c:v>
                </c:pt>
                <c:pt idx="2">
                  <c:v>508</c:v>
                </c:pt>
                <c:pt idx="3" formatCode="General">
                  <c:v>133</c:v>
                </c:pt>
                <c:pt idx="4">
                  <c:v>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DE-486A-8C4C-BC7B52CD31A9}"/>
            </c:ext>
          </c:extLst>
        </c:ser>
        <c:ser>
          <c:idx val="8"/>
          <c:order val="4"/>
          <c:tx>
            <c:strRef>
              <c:f>tipodef_t_violência!$A$12</c:f>
              <c:strCache>
                <c:ptCount val="1"/>
                <c:pt idx="0">
                  <c:v>Auditiva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tipodef_t_violência!$C$3:$G$3</c:f>
              <c:strCache>
                <c:ptCount val="5"/>
                <c:pt idx="0">
                  <c:v>V.  Física</c:v>
                </c:pt>
                <c:pt idx="1">
                  <c:v>V. Psicol1</c:v>
                </c:pt>
                <c:pt idx="2">
                  <c:v>Neglig/aband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tipodef_t_violência!$C$12:$G$12</c:f>
              <c:numCache>
                <c:formatCode>0</c:formatCode>
                <c:ptCount val="5"/>
                <c:pt idx="0">
                  <c:v>465</c:v>
                </c:pt>
                <c:pt idx="1">
                  <c:v>214</c:v>
                </c:pt>
                <c:pt idx="2">
                  <c:v>157</c:v>
                </c:pt>
                <c:pt idx="3" formatCode="General">
                  <c:v>36</c:v>
                </c:pt>
                <c:pt idx="4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DE-486A-8C4C-BC7B52CD31A9}"/>
            </c:ext>
          </c:extLst>
        </c:ser>
        <c:ser>
          <c:idx val="1"/>
          <c:order val="5"/>
          <c:tx>
            <c:strRef>
              <c:f>tipodef_t_violência!$A$14</c:f>
              <c:strCache>
                <c:ptCount val="1"/>
                <c:pt idx="0">
                  <c:v>Visual</c:v>
                </c:pt>
              </c:strCache>
            </c:strRef>
          </c:tx>
          <c:invertIfNegative val="0"/>
          <c:cat>
            <c:strRef>
              <c:f>tipodef_t_violência!$C$3:$G$3</c:f>
              <c:strCache>
                <c:ptCount val="5"/>
                <c:pt idx="0">
                  <c:v>V.  Física</c:v>
                </c:pt>
                <c:pt idx="1">
                  <c:v>V. Psicol1</c:v>
                </c:pt>
                <c:pt idx="2">
                  <c:v>Neglig/aband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tipodef_t_violência!$C$14:$G$14</c:f>
              <c:numCache>
                <c:formatCode>0</c:formatCode>
                <c:ptCount val="5"/>
                <c:pt idx="0">
                  <c:v>456</c:v>
                </c:pt>
                <c:pt idx="1">
                  <c:v>309</c:v>
                </c:pt>
                <c:pt idx="2">
                  <c:v>210</c:v>
                </c:pt>
                <c:pt idx="3" formatCode="General">
                  <c:v>54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E-40C7-A923-9E9728836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761408"/>
        <c:axId val="541750528"/>
        <c:extLst/>
      </c:barChart>
      <c:catAx>
        <c:axId val="54176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0528"/>
        <c:crosses val="autoZero"/>
        <c:auto val="1"/>
        <c:lblAlgn val="ctr"/>
        <c:lblOffset val="100"/>
        <c:noMultiLvlLbl val="0"/>
      </c:catAx>
      <c:valAx>
        <c:axId val="5417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6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't_violência x fxet80'!$A$4</c:f>
              <c:strCache>
                <c:ptCount val="1"/>
                <c:pt idx="0">
                  <c:v>V.  Física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't_violência x fxet80'!$C$3:$K$3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fxet80'!$C$4:$K$4</c:f>
              <c:numCache>
                <c:formatCode>General</c:formatCode>
                <c:ptCount val="9"/>
                <c:pt idx="0">
                  <c:v>299</c:v>
                </c:pt>
                <c:pt idx="1">
                  <c:v>1148</c:v>
                </c:pt>
                <c:pt idx="2">
                  <c:v>1455</c:v>
                </c:pt>
                <c:pt idx="3">
                  <c:v>1497</c:v>
                </c:pt>
                <c:pt idx="4">
                  <c:v>1413</c:v>
                </c:pt>
                <c:pt idx="5">
                  <c:v>798</c:v>
                </c:pt>
                <c:pt idx="6">
                  <c:v>492</c:v>
                </c:pt>
                <c:pt idx="7">
                  <c:v>265</c:v>
                </c:pt>
                <c:pt idx="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9-4DE7-9B49-555B3E6930F2}"/>
            </c:ext>
          </c:extLst>
        </c:ser>
        <c:ser>
          <c:idx val="2"/>
          <c:order val="2"/>
          <c:tx>
            <c:strRef>
              <c:f>'t_violência x fxet80'!$A$6</c:f>
              <c:strCache>
                <c:ptCount val="1"/>
                <c:pt idx="0">
                  <c:v>V. Psicol1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't_violência x fxet80'!$C$3:$K$3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fxet80'!$C$6:$K$6</c:f>
              <c:numCache>
                <c:formatCode>General</c:formatCode>
                <c:ptCount val="9"/>
                <c:pt idx="0">
                  <c:v>198</c:v>
                </c:pt>
                <c:pt idx="1">
                  <c:v>777</c:v>
                </c:pt>
                <c:pt idx="2">
                  <c:v>657</c:v>
                </c:pt>
                <c:pt idx="3">
                  <c:v>732</c:v>
                </c:pt>
                <c:pt idx="4">
                  <c:v>777</c:v>
                </c:pt>
                <c:pt idx="5">
                  <c:v>460</c:v>
                </c:pt>
                <c:pt idx="6">
                  <c:v>351</c:v>
                </c:pt>
                <c:pt idx="7">
                  <c:v>238</c:v>
                </c:pt>
                <c:pt idx="8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9-4DE7-9B49-555B3E6930F2}"/>
            </c:ext>
          </c:extLst>
        </c:ser>
        <c:ser>
          <c:idx val="4"/>
          <c:order val="4"/>
          <c:tx>
            <c:strRef>
              <c:f>'t_violência x fxet80'!$A$8</c:f>
              <c:strCache>
                <c:ptCount val="1"/>
                <c:pt idx="0">
                  <c:v>Neglig/aband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't_violência x fxet80'!$C$3:$K$3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fxet80'!$C$8:$K$8</c:f>
              <c:numCache>
                <c:formatCode>General</c:formatCode>
                <c:ptCount val="9"/>
                <c:pt idx="0">
                  <c:v>493</c:v>
                </c:pt>
                <c:pt idx="1">
                  <c:v>573</c:v>
                </c:pt>
                <c:pt idx="2">
                  <c:v>152</c:v>
                </c:pt>
                <c:pt idx="3">
                  <c:v>125</c:v>
                </c:pt>
                <c:pt idx="4">
                  <c:v>177</c:v>
                </c:pt>
                <c:pt idx="5">
                  <c:v>242</c:v>
                </c:pt>
                <c:pt idx="6">
                  <c:v>484</c:v>
                </c:pt>
                <c:pt idx="7">
                  <c:v>494</c:v>
                </c:pt>
                <c:pt idx="8">
                  <c:v>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C9-4DE7-9B49-555B3E6930F2}"/>
            </c:ext>
          </c:extLst>
        </c:ser>
        <c:ser>
          <c:idx val="6"/>
          <c:order val="6"/>
          <c:tx>
            <c:strRef>
              <c:f>'t_violência x fxet80'!$A$10</c:f>
              <c:strCache>
                <c:ptCount val="1"/>
                <c:pt idx="0">
                  <c:v>Outros2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't_violência x fxet80'!$C$3:$K$3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fxet80'!$C$10:$K$10</c:f>
              <c:numCache>
                <c:formatCode>General</c:formatCode>
                <c:ptCount val="9"/>
                <c:pt idx="0">
                  <c:v>40</c:v>
                </c:pt>
                <c:pt idx="1">
                  <c:v>208</c:v>
                </c:pt>
                <c:pt idx="2">
                  <c:v>169</c:v>
                </c:pt>
                <c:pt idx="3">
                  <c:v>153</c:v>
                </c:pt>
                <c:pt idx="4">
                  <c:v>163</c:v>
                </c:pt>
                <c:pt idx="5">
                  <c:v>67</c:v>
                </c:pt>
                <c:pt idx="6">
                  <c:v>47</c:v>
                </c:pt>
                <c:pt idx="7">
                  <c:v>36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C9-4DE7-9B49-555B3E6930F2}"/>
            </c:ext>
          </c:extLst>
        </c:ser>
        <c:ser>
          <c:idx val="8"/>
          <c:order val="8"/>
          <c:tx>
            <c:strRef>
              <c:f>'t_violência x fxet80'!$A$12</c:f>
              <c:strCache>
                <c:ptCount val="1"/>
                <c:pt idx="0">
                  <c:v>V. sexual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't_violência x fxet80'!$C$3:$K$3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fxet80'!$C$12:$K$12</c:f>
              <c:numCache>
                <c:formatCode>General</c:formatCode>
                <c:ptCount val="9"/>
                <c:pt idx="0">
                  <c:v>351</c:v>
                </c:pt>
                <c:pt idx="1">
                  <c:v>1372</c:v>
                </c:pt>
                <c:pt idx="2">
                  <c:v>643</c:v>
                </c:pt>
                <c:pt idx="3">
                  <c:v>408</c:v>
                </c:pt>
                <c:pt idx="4">
                  <c:v>285</c:v>
                </c:pt>
                <c:pt idx="5">
                  <c:v>143</c:v>
                </c:pt>
                <c:pt idx="6">
                  <c:v>51</c:v>
                </c:pt>
                <c:pt idx="7">
                  <c:v>31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C9-4DE7-9B49-555B3E69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758144"/>
        <c:axId val="54175379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't_violência x fxet80_auto'!$A$5:$B$5</c15:sqref>
                        </c15:formulaRef>
                      </c:ext>
                    </c:extLst>
                    <c:strCache>
                      <c:ptCount val="2"/>
                      <c:pt idx="0">
                        <c:v>V.  Física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't_violência x fxet80'!$C$3:$K$3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't_violência x fxet80_auto'!$C$5:$K$5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25.578034682080926</c:v>
                      </c:pt>
                      <c:pt idx="1">
                        <c:v>42.811208084519983</c:v>
                      </c:pt>
                      <c:pt idx="2">
                        <c:v>57.966101694915253</c:v>
                      </c:pt>
                      <c:pt idx="3">
                        <c:v>62.942271880819369</c:v>
                      </c:pt>
                      <c:pt idx="4">
                        <c:v>62.014925373134332</c:v>
                      </c:pt>
                      <c:pt idx="5">
                        <c:v>56.350053361792952</c:v>
                      </c:pt>
                      <c:pt idx="6">
                        <c:v>44.29447852760736</c:v>
                      </c:pt>
                      <c:pt idx="7">
                        <c:v>33.895705521472394</c:v>
                      </c:pt>
                      <c:pt idx="8">
                        <c:v>26.565464895635671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5C9-4DE7-9B49-555B3E6930F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fxet80_auto'!$A$7:$B$7</c15:sqref>
                        </c15:formulaRef>
                      </c:ext>
                    </c:extLst>
                    <c:strCache>
                      <c:ptCount val="2"/>
                      <c:pt idx="0">
                        <c:v>V. Psicológica1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fxet80'!$C$3:$K$3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fxet80_auto'!$C$7:$K$7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17.630057803468208</c:v>
                      </c:pt>
                      <c:pt idx="1">
                        <c:v>20.211299954065225</c:v>
                      </c:pt>
                      <c:pt idx="2">
                        <c:v>20.16949152542373</c:v>
                      </c:pt>
                      <c:pt idx="3">
                        <c:v>23.711980136561142</c:v>
                      </c:pt>
                      <c:pt idx="4">
                        <c:v>23.582089552238806</c:v>
                      </c:pt>
                      <c:pt idx="5">
                        <c:v>29.242262540021347</c:v>
                      </c:pt>
                      <c:pt idx="6">
                        <c:v>32.883435582822088</c:v>
                      </c:pt>
                      <c:pt idx="7">
                        <c:v>29.754601226993866</c:v>
                      </c:pt>
                      <c:pt idx="8">
                        <c:v>26.944971537001898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5C9-4DE7-9B49-555B3E6930F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fxet80_auto'!$A$9:$B$9</c15:sqref>
                        </c15:formulaRef>
                      </c:ext>
                    </c:extLst>
                    <c:strCache>
                      <c:ptCount val="2"/>
                      <c:pt idx="0">
                        <c:v>Neglig./aband.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fxet80'!$C$3:$K$3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fxet80_auto'!$C$9:$K$9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50.867052023121381</c:v>
                      </c:pt>
                      <c:pt idx="1">
                        <c:v>14.928801102434544</c:v>
                      </c:pt>
                      <c:pt idx="2">
                        <c:v>5.593220338983051</c:v>
                      </c:pt>
                      <c:pt idx="3">
                        <c:v>5.4624456859093726</c:v>
                      </c:pt>
                      <c:pt idx="4">
                        <c:v>8.2089552238805972</c:v>
                      </c:pt>
                      <c:pt idx="5">
                        <c:v>21.558164354322304</c:v>
                      </c:pt>
                      <c:pt idx="6">
                        <c:v>42.45398773006135</c:v>
                      </c:pt>
                      <c:pt idx="7">
                        <c:v>56.595092024539873</c:v>
                      </c:pt>
                      <c:pt idx="8">
                        <c:v>70.777988614800762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5C9-4DE7-9B49-555B3E6930F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fxet80_auto'!$A$11:$B$11</c15:sqref>
                        </c15:formulaRef>
                      </c:ext>
                    </c:extLst>
                    <c:strCache>
                      <c:ptCount val="2"/>
                      <c:pt idx="0">
                        <c:v>Outros2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fxet80'!$C$3:$K$3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fxet80_auto'!$C$11:$K$11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5.6358381502890174</c:v>
                      </c:pt>
                      <c:pt idx="1">
                        <c:v>21.773082223242994</c:v>
                      </c:pt>
                      <c:pt idx="2">
                        <c:v>25.36723163841808</c:v>
                      </c:pt>
                      <c:pt idx="3">
                        <c:v>26.319056486654251</c:v>
                      </c:pt>
                      <c:pt idx="4">
                        <c:v>25.671641791044774</c:v>
                      </c:pt>
                      <c:pt idx="5">
                        <c:v>19.743863393810031</c:v>
                      </c:pt>
                      <c:pt idx="6">
                        <c:v>11.779141104294478</c:v>
                      </c:pt>
                      <c:pt idx="7">
                        <c:v>8.4355828220858893</c:v>
                      </c:pt>
                      <c:pt idx="8">
                        <c:v>7.2106261859582546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5C9-4DE7-9B49-555B3E6930F2}"/>
                  </c:ext>
                </c:extLst>
              </c15:ser>
            </c15:filteredBarSeries>
          </c:ext>
        </c:extLst>
      </c:barChart>
      <c:catAx>
        <c:axId val="54175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3792"/>
        <c:crosses val="autoZero"/>
        <c:auto val="1"/>
        <c:lblAlgn val="ctr"/>
        <c:lblOffset val="100"/>
        <c:noMultiLvlLbl val="0"/>
      </c:catAx>
      <c:valAx>
        <c:axId val="54175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tviol_ind_fxet80!$A$4</c:f>
              <c:strCache>
                <c:ptCount val="1"/>
                <c:pt idx="0">
                  <c:v>Múltipla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tviol_ind_fxet80!$C$3:$K$3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tviol_ind_fxet80!$C$4:$K$4</c:f>
              <c:numCache>
                <c:formatCode>General</c:formatCode>
                <c:ptCount val="9"/>
                <c:pt idx="0">
                  <c:v>111</c:v>
                </c:pt>
                <c:pt idx="1">
                  <c:v>306</c:v>
                </c:pt>
                <c:pt idx="2">
                  <c:v>256</c:v>
                </c:pt>
                <c:pt idx="3">
                  <c:v>254</c:v>
                </c:pt>
                <c:pt idx="4">
                  <c:v>234</c:v>
                </c:pt>
                <c:pt idx="5">
                  <c:v>176</c:v>
                </c:pt>
                <c:pt idx="6">
                  <c:v>140</c:v>
                </c:pt>
                <c:pt idx="7">
                  <c:v>129</c:v>
                </c:pt>
                <c:pt idx="8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6-4059-A745-61855B16B173}"/>
            </c:ext>
          </c:extLst>
        </c:ser>
        <c:ser>
          <c:idx val="2"/>
          <c:order val="1"/>
          <c:tx>
            <c:strRef>
              <c:f>tviol_ind_fxet80!$A$6</c:f>
              <c:strCache>
                <c:ptCount val="1"/>
                <c:pt idx="0">
                  <c:v>Negligência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tviol_ind_fxet80!$C$3:$K$3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tviol_ind_fxet80!$C$6:$K$6</c:f>
              <c:numCache>
                <c:formatCode>General</c:formatCode>
                <c:ptCount val="9"/>
                <c:pt idx="0">
                  <c:v>193</c:v>
                </c:pt>
                <c:pt idx="1">
                  <c:v>139</c:v>
                </c:pt>
                <c:pt idx="2">
                  <c:v>44</c:v>
                </c:pt>
                <c:pt idx="3">
                  <c:v>41</c:v>
                </c:pt>
                <c:pt idx="4">
                  <c:v>53</c:v>
                </c:pt>
                <c:pt idx="5">
                  <c:v>86</c:v>
                </c:pt>
                <c:pt idx="6">
                  <c:v>182</c:v>
                </c:pt>
                <c:pt idx="7">
                  <c:v>199</c:v>
                </c:pt>
                <c:pt idx="8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6-4059-A745-61855B16B173}"/>
            </c:ext>
          </c:extLst>
        </c:ser>
        <c:ser>
          <c:idx val="4"/>
          <c:order val="2"/>
          <c:tx>
            <c:strRef>
              <c:f>tviol_ind_fxet80!$A$8</c:f>
              <c:strCache>
                <c:ptCount val="1"/>
                <c:pt idx="0">
                  <c:v>Outro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tviol_ind_fxet80!$C$3:$K$3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tviol_ind_fxet80!$C$8:$K$8</c:f>
              <c:numCache>
                <c:formatCode>General</c:formatCode>
                <c:ptCount val="9"/>
                <c:pt idx="0">
                  <c:v>3</c:v>
                </c:pt>
                <c:pt idx="1">
                  <c:v>27</c:v>
                </c:pt>
                <c:pt idx="2">
                  <c:v>14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  <c:pt idx="6">
                  <c:v>6</c:v>
                </c:pt>
                <c:pt idx="7">
                  <c:v>8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46-4059-A745-61855B16B173}"/>
            </c:ext>
          </c:extLst>
        </c:ser>
        <c:ser>
          <c:idx val="6"/>
          <c:order val="3"/>
          <c:tx>
            <c:strRef>
              <c:f>tviol_ind_fxet80!$A$10</c:f>
              <c:strCache>
                <c:ptCount val="1"/>
                <c:pt idx="0">
                  <c:v>V. Física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tviol_ind_fxet80!$C$3:$K$3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tviol_ind_fxet80!$C$10:$K$10</c:f>
              <c:numCache>
                <c:formatCode>General</c:formatCode>
                <c:ptCount val="9"/>
                <c:pt idx="0">
                  <c:v>71</c:v>
                </c:pt>
                <c:pt idx="1">
                  <c:v>218</c:v>
                </c:pt>
                <c:pt idx="2">
                  <c:v>306</c:v>
                </c:pt>
                <c:pt idx="3">
                  <c:v>341</c:v>
                </c:pt>
                <c:pt idx="4">
                  <c:v>298</c:v>
                </c:pt>
                <c:pt idx="5">
                  <c:v>228</c:v>
                </c:pt>
                <c:pt idx="6">
                  <c:v>150</c:v>
                </c:pt>
                <c:pt idx="7">
                  <c:v>66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46-4059-A745-61855B16B173}"/>
            </c:ext>
          </c:extLst>
        </c:ser>
        <c:ser>
          <c:idx val="8"/>
          <c:order val="4"/>
          <c:tx>
            <c:strRef>
              <c:f>tviol_ind_fxet80!$A$12</c:f>
              <c:strCache>
                <c:ptCount val="1"/>
                <c:pt idx="0">
                  <c:v>V. Psico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tviol_ind_fxet80!$C$3:$K$3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tviol_ind_fxet80!$C$12:$K$12</c:f>
              <c:numCache>
                <c:formatCode>General</c:formatCode>
                <c:ptCount val="9"/>
                <c:pt idx="0">
                  <c:v>29</c:v>
                </c:pt>
                <c:pt idx="1">
                  <c:v>39</c:v>
                </c:pt>
                <c:pt idx="2">
                  <c:v>21</c:v>
                </c:pt>
                <c:pt idx="3">
                  <c:v>45</c:v>
                </c:pt>
                <c:pt idx="4">
                  <c:v>39</c:v>
                </c:pt>
                <c:pt idx="5">
                  <c:v>35</c:v>
                </c:pt>
                <c:pt idx="6">
                  <c:v>27</c:v>
                </c:pt>
                <c:pt idx="7">
                  <c:v>21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46-4059-A745-61855B16B173}"/>
            </c:ext>
          </c:extLst>
        </c:ser>
        <c:ser>
          <c:idx val="10"/>
          <c:order val="5"/>
          <c:tx>
            <c:strRef>
              <c:f>tviol_ind_fxet80!$A$14</c:f>
              <c:strCache>
                <c:ptCount val="1"/>
                <c:pt idx="0">
                  <c:v>V. Sexual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tviol_ind_fxet80!$C$3:$K$3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tviol_ind_fxet80!$C$14:$K$14</c:f>
              <c:numCache>
                <c:formatCode>General</c:formatCode>
                <c:ptCount val="9"/>
                <c:pt idx="0">
                  <c:v>78</c:v>
                </c:pt>
                <c:pt idx="1">
                  <c:v>309</c:v>
                </c:pt>
                <c:pt idx="2">
                  <c:v>137</c:v>
                </c:pt>
                <c:pt idx="3">
                  <c:v>64</c:v>
                </c:pt>
                <c:pt idx="4">
                  <c:v>33</c:v>
                </c:pt>
                <c:pt idx="5">
                  <c:v>18</c:v>
                </c:pt>
                <c:pt idx="6">
                  <c:v>9</c:v>
                </c:pt>
                <c:pt idx="7">
                  <c:v>5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46-4059-A745-61855B16B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764672"/>
        <c:axId val="541751616"/>
        <c:extLst/>
      </c:barChart>
      <c:catAx>
        <c:axId val="5417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1616"/>
        <c:crosses val="autoZero"/>
        <c:auto val="1"/>
        <c:lblAlgn val="ctr"/>
        <c:lblOffset val="100"/>
        <c:noMultiLvlLbl val="0"/>
      </c:catAx>
      <c:valAx>
        <c:axId val="54175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'tipodef-tviol_ind'!$A$4</c:f>
              <c:strCache>
                <c:ptCount val="1"/>
                <c:pt idx="0">
                  <c:v>Intelectual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'tipodef-tviol_ind'!$C$3:$H$3</c:f>
              <c:strCache>
                <c:ptCount val="6"/>
                <c:pt idx="0">
                  <c:v>Múltipla</c:v>
                </c:pt>
                <c:pt idx="1">
                  <c:v>V.Física</c:v>
                </c:pt>
                <c:pt idx="2">
                  <c:v>Negligêcia</c:v>
                </c:pt>
                <c:pt idx="3">
                  <c:v>V. Sexual</c:v>
                </c:pt>
                <c:pt idx="4">
                  <c:v>V. Psico</c:v>
                </c:pt>
                <c:pt idx="5">
                  <c:v>Outro</c:v>
                </c:pt>
              </c:strCache>
            </c:strRef>
          </c:cat>
          <c:val>
            <c:numRef>
              <c:f>'tipodef-tviol_ind'!$C$4:$H$4</c:f>
              <c:numCache>
                <c:formatCode>0</c:formatCode>
                <c:ptCount val="6"/>
                <c:pt idx="0">
                  <c:v>712</c:v>
                </c:pt>
                <c:pt idx="1">
                  <c:v>563</c:v>
                </c:pt>
                <c:pt idx="2">
                  <c:v>281</c:v>
                </c:pt>
                <c:pt idx="3">
                  <c:v>431</c:v>
                </c:pt>
                <c:pt idx="4">
                  <c:v>101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3-453D-9A1C-4D5BEB2A2737}"/>
            </c:ext>
          </c:extLst>
        </c:ser>
        <c:ser>
          <c:idx val="2"/>
          <c:order val="1"/>
          <c:tx>
            <c:strRef>
              <c:f>'tipodef-tviol_ind'!$A$6</c:f>
              <c:strCache>
                <c:ptCount val="1"/>
                <c:pt idx="0">
                  <c:v>Física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'tipodef-tviol_ind'!$C$3:$H$3</c:f>
              <c:strCache>
                <c:ptCount val="6"/>
                <c:pt idx="0">
                  <c:v>Múltipla</c:v>
                </c:pt>
                <c:pt idx="1">
                  <c:v>V.Física</c:v>
                </c:pt>
                <c:pt idx="2">
                  <c:v>Negligêcia</c:v>
                </c:pt>
                <c:pt idx="3">
                  <c:v>V. Sexual</c:v>
                </c:pt>
                <c:pt idx="4">
                  <c:v>V. Psico</c:v>
                </c:pt>
                <c:pt idx="5">
                  <c:v>Outro</c:v>
                </c:pt>
              </c:strCache>
            </c:strRef>
          </c:cat>
          <c:val>
            <c:numRef>
              <c:f>'tipodef-tviol_ind'!$C$6:$H$6</c:f>
              <c:numCache>
                <c:formatCode>General</c:formatCode>
                <c:ptCount val="6"/>
                <c:pt idx="0">
                  <c:v>478</c:v>
                </c:pt>
                <c:pt idx="1">
                  <c:v>630</c:v>
                </c:pt>
                <c:pt idx="2">
                  <c:v>423</c:v>
                </c:pt>
                <c:pt idx="3">
                  <c:v>73</c:v>
                </c:pt>
                <c:pt idx="4">
                  <c:v>85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63-453D-9A1C-4D5BEB2A2737}"/>
            </c:ext>
          </c:extLst>
        </c:ser>
        <c:ser>
          <c:idx val="4"/>
          <c:order val="2"/>
          <c:tx>
            <c:strRef>
              <c:f>'tipodef-tviol_ind'!$A$8</c:f>
              <c:strCache>
                <c:ptCount val="1"/>
                <c:pt idx="0">
                  <c:v>Múltipla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'tipodef-tviol_ind'!$C$3:$H$3</c:f>
              <c:strCache>
                <c:ptCount val="6"/>
                <c:pt idx="0">
                  <c:v>Múltipla</c:v>
                </c:pt>
                <c:pt idx="1">
                  <c:v>V.Física</c:v>
                </c:pt>
                <c:pt idx="2">
                  <c:v>Negligêcia</c:v>
                </c:pt>
                <c:pt idx="3">
                  <c:v>V. Sexual</c:v>
                </c:pt>
                <c:pt idx="4">
                  <c:v>V. Psico</c:v>
                </c:pt>
                <c:pt idx="5">
                  <c:v>Outro</c:v>
                </c:pt>
              </c:strCache>
            </c:strRef>
          </c:cat>
          <c:val>
            <c:numRef>
              <c:f>'tipodef-tviol_ind'!$C$8:$H$8</c:f>
              <c:numCache>
                <c:formatCode>General</c:formatCode>
                <c:ptCount val="6"/>
                <c:pt idx="0">
                  <c:v>219</c:v>
                </c:pt>
                <c:pt idx="1">
                  <c:v>119</c:v>
                </c:pt>
                <c:pt idx="2">
                  <c:v>255</c:v>
                </c:pt>
                <c:pt idx="3">
                  <c:v>50</c:v>
                </c:pt>
                <c:pt idx="4">
                  <c:v>33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63-453D-9A1C-4D5BEB2A2737}"/>
            </c:ext>
          </c:extLst>
        </c:ser>
        <c:ser>
          <c:idx val="6"/>
          <c:order val="3"/>
          <c:tx>
            <c:strRef>
              <c:f>'tipodef-tviol_ind'!$A$10</c:f>
              <c:strCache>
                <c:ptCount val="1"/>
                <c:pt idx="0">
                  <c:v>Visual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'tipodef-tviol_ind'!$C$3:$H$3</c:f>
              <c:strCache>
                <c:ptCount val="6"/>
                <c:pt idx="0">
                  <c:v>Múltipla</c:v>
                </c:pt>
                <c:pt idx="1">
                  <c:v>V.Física</c:v>
                </c:pt>
                <c:pt idx="2">
                  <c:v>Negligêcia</c:v>
                </c:pt>
                <c:pt idx="3">
                  <c:v>V. Sexual</c:v>
                </c:pt>
                <c:pt idx="4">
                  <c:v>V. Psico</c:v>
                </c:pt>
                <c:pt idx="5">
                  <c:v>Outro</c:v>
                </c:pt>
              </c:strCache>
            </c:strRef>
          </c:cat>
          <c:val>
            <c:numRef>
              <c:f>'tipodef-tviol_ind'!$C$10:$H$10</c:f>
              <c:numCache>
                <c:formatCode>General</c:formatCode>
                <c:ptCount val="6"/>
                <c:pt idx="0">
                  <c:v>165</c:v>
                </c:pt>
                <c:pt idx="1">
                  <c:v>191</c:v>
                </c:pt>
                <c:pt idx="2">
                  <c:v>89</c:v>
                </c:pt>
                <c:pt idx="3">
                  <c:v>31</c:v>
                </c:pt>
                <c:pt idx="4">
                  <c:v>28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63-453D-9A1C-4D5BEB2A2737}"/>
            </c:ext>
          </c:extLst>
        </c:ser>
        <c:ser>
          <c:idx val="8"/>
          <c:order val="4"/>
          <c:tx>
            <c:strRef>
              <c:f>'tipodef-tviol_ind'!$A$12</c:f>
              <c:strCache>
                <c:ptCount val="1"/>
                <c:pt idx="0">
                  <c:v>Auditiva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'tipodef-tviol_ind'!$C$3:$H$3</c:f>
              <c:strCache>
                <c:ptCount val="6"/>
                <c:pt idx="0">
                  <c:v>Múltipla</c:v>
                </c:pt>
                <c:pt idx="1">
                  <c:v>V.Física</c:v>
                </c:pt>
                <c:pt idx="2">
                  <c:v>Negligêcia</c:v>
                </c:pt>
                <c:pt idx="3">
                  <c:v>V. Sexual</c:v>
                </c:pt>
                <c:pt idx="4">
                  <c:v>V. Psico</c:v>
                </c:pt>
                <c:pt idx="5">
                  <c:v>Outro</c:v>
                </c:pt>
              </c:strCache>
            </c:strRef>
          </c:cat>
          <c:val>
            <c:numRef>
              <c:f>'tipodef-tviol_ind'!$C$12:$H$12</c:f>
              <c:numCache>
                <c:formatCode>General</c:formatCode>
                <c:ptCount val="6"/>
                <c:pt idx="0">
                  <c:v>116</c:v>
                </c:pt>
                <c:pt idx="1">
                  <c:v>182</c:v>
                </c:pt>
                <c:pt idx="2">
                  <c:v>64</c:v>
                </c:pt>
                <c:pt idx="3">
                  <c:v>58</c:v>
                </c:pt>
                <c:pt idx="4">
                  <c:v>19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63-453D-9A1C-4D5BEB2A2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757600"/>
        <c:axId val="541762496"/>
        <c:extLst/>
      </c:barChart>
      <c:catAx>
        <c:axId val="54175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62496"/>
        <c:crosses val="autoZero"/>
        <c:auto val="1"/>
        <c:lblAlgn val="ctr"/>
        <c:lblOffset val="100"/>
        <c:noMultiLvlLbl val="0"/>
      </c:catAx>
      <c:valAx>
        <c:axId val="5417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fxet80_agre!$C$3</c:f>
              <c:strCache>
                <c:ptCount val="1"/>
                <c:pt idx="0">
                  <c:v>Doméstica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fxet80_agre!$A$4:$A$22</c15:sqref>
                  </c15:fullRef>
                </c:ext>
              </c:extLst>
              <c:f>(fxet80_agre!$A$4,fxet80_agre!$A$6,fxet80_agre!$A$8,fxet80_agre!$A$10,fxet80_agre!$A$12,fxet80_agre!$A$14,fxet80_agre!$A$16,fxet80_agre!$A$18,fxet80_agre!$A$20)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fxet80_agre!$C$4:$C$22</c15:sqref>
                  </c15:fullRef>
                </c:ext>
              </c:extLst>
              <c:f>(fxet80_agre!$C$4,fxet80_agre!$C$6,fxet80_agre!$C$8,fxet80_agre!$C$10,fxet80_agre!$C$12,fxet80_agre!$C$14,fxet80_agre!$C$16,fxet80_agre!$C$18,fxet80_agre!$C$20)</c:f>
              <c:numCache>
                <c:formatCode>0.0</c:formatCode>
                <c:ptCount val="9"/>
                <c:pt idx="0" formatCode="General">
                  <c:v>448</c:v>
                </c:pt>
                <c:pt idx="1" formatCode="General">
                  <c:v>636</c:v>
                </c:pt>
                <c:pt idx="2" formatCode="General">
                  <c:v>494</c:v>
                </c:pt>
                <c:pt idx="3" formatCode="General">
                  <c:v>506</c:v>
                </c:pt>
                <c:pt idx="4" formatCode="General">
                  <c:v>488</c:v>
                </c:pt>
                <c:pt idx="5" formatCode="General">
                  <c:v>417</c:v>
                </c:pt>
                <c:pt idx="6" formatCode="General">
                  <c:v>456</c:v>
                </c:pt>
                <c:pt idx="7" formatCode="General">
                  <c:v>384</c:v>
                </c:pt>
                <c:pt idx="8" formatCode="General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A-4F44-BBB8-EB171531FD52}"/>
            </c:ext>
          </c:extLst>
        </c:ser>
        <c:ser>
          <c:idx val="1"/>
          <c:order val="1"/>
          <c:tx>
            <c:strRef>
              <c:f>fxet80_agre!$D$3</c:f>
              <c:strCache>
                <c:ptCount val="1"/>
                <c:pt idx="0">
                  <c:v>Comunitária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fxet80_agre!$A$4:$A$22</c15:sqref>
                  </c15:fullRef>
                </c:ext>
              </c:extLst>
              <c:f>(fxet80_agre!$A$4,fxet80_agre!$A$6,fxet80_agre!$A$8,fxet80_agre!$A$10,fxet80_agre!$A$12,fxet80_agre!$A$14,fxet80_agre!$A$16,fxet80_agre!$A$18,fxet80_agre!$A$20)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fxet80_agre!$D$4:$D$22</c15:sqref>
                  </c15:fullRef>
                </c:ext>
              </c:extLst>
              <c:f>(fxet80_agre!$D$4,fxet80_agre!$D$6,fxet80_agre!$D$8,fxet80_agre!$D$10,fxet80_agre!$D$12,fxet80_agre!$D$14,fxet80_agre!$D$16,fxet80_agre!$D$18,fxet80_agre!$D$20)</c:f>
              <c:numCache>
                <c:formatCode>0.0</c:formatCode>
                <c:ptCount val="9"/>
                <c:pt idx="0" formatCode="General">
                  <c:v>77</c:v>
                </c:pt>
                <c:pt idx="1" formatCode="General">
                  <c:v>464</c:v>
                </c:pt>
                <c:pt idx="2" formatCode="General">
                  <c:v>321</c:v>
                </c:pt>
                <c:pt idx="3" formatCode="General">
                  <c:v>287</c:v>
                </c:pt>
                <c:pt idx="4" formatCode="General">
                  <c:v>218</c:v>
                </c:pt>
                <c:pt idx="5" formatCode="General">
                  <c:v>142</c:v>
                </c:pt>
                <c:pt idx="6" formatCode="General">
                  <c:v>99</c:v>
                </c:pt>
                <c:pt idx="7" formatCode="General">
                  <c:v>50</c:v>
                </c:pt>
                <c:pt idx="8" formatCode="General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CA-4F44-BBB8-EB171531FD52}"/>
            </c:ext>
          </c:extLst>
        </c:ser>
        <c:ser>
          <c:idx val="2"/>
          <c:order val="2"/>
          <c:tx>
            <c:strRef>
              <c:f>fxet80_agre!$E$3</c:f>
              <c:strCache>
                <c:ptCount val="1"/>
                <c:pt idx="0">
                  <c:v>Misto*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fxet80_agre!$A$4:$A$22</c15:sqref>
                  </c15:fullRef>
                </c:ext>
              </c:extLst>
              <c:f>(fxet80_agre!$A$4,fxet80_agre!$A$6,fxet80_agre!$A$8,fxet80_agre!$A$10,fxet80_agre!$A$12,fxet80_agre!$A$14,fxet80_agre!$A$16,fxet80_agre!$A$18,fxet80_agre!$A$20)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fxet80_agre!$E$4:$E$22</c15:sqref>
                  </c15:fullRef>
                </c:ext>
              </c:extLst>
              <c:f>(fxet80_agre!$E$4,fxet80_agre!$E$6,fxet80_agre!$E$8,fxet80_agre!$E$10,fxet80_agre!$E$12,fxet80_agre!$E$14,fxet80_agre!$E$16,fxet80_agre!$E$18,fxet80_agre!$E$20)</c:f>
              <c:numCache>
                <c:formatCode>0.0</c:formatCode>
                <c:ptCount val="9"/>
                <c:pt idx="0" formatCode="General">
                  <c:v>88</c:v>
                </c:pt>
                <c:pt idx="1" formatCode="General">
                  <c:v>231</c:v>
                </c:pt>
                <c:pt idx="2" formatCode="General">
                  <c:v>129</c:v>
                </c:pt>
                <c:pt idx="3" formatCode="General">
                  <c:v>115</c:v>
                </c:pt>
                <c:pt idx="4" formatCode="General">
                  <c:v>100</c:v>
                </c:pt>
                <c:pt idx="5" formatCode="General">
                  <c:v>93</c:v>
                </c:pt>
                <c:pt idx="6" formatCode="General">
                  <c:v>110</c:v>
                </c:pt>
                <c:pt idx="7" formatCode="General">
                  <c:v>125</c:v>
                </c:pt>
                <c:pt idx="8" formatCode="General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CA-4F44-BBB8-EB171531FD52}"/>
            </c:ext>
          </c:extLst>
        </c:ser>
        <c:ser>
          <c:idx val="3"/>
          <c:order val="3"/>
          <c:tx>
            <c:strRef>
              <c:f>fxet80_agre!$F$3</c:f>
              <c:strCache>
                <c:ptCount val="1"/>
                <c:pt idx="0">
                  <c:v>Institucional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fxet80_agre!$A$4:$A$22</c15:sqref>
                  </c15:fullRef>
                </c:ext>
              </c:extLst>
              <c:f>(fxet80_agre!$A$4,fxet80_agre!$A$6,fxet80_agre!$A$8,fxet80_agre!$A$10,fxet80_agre!$A$12,fxet80_agre!$A$14,fxet80_agre!$A$16,fxet80_agre!$A$18,fxet80_agre!$A$20)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fxet80_agre!$F$4:$F$22</c15:sqref>
                  </c15:fullRef>
                </c:ext>
              </c:extLst>
              <c:f>(fxet80_agre!$F$4,fxet80_agre!$F$6,fxet80_agre!$F$8,fxet80_agre!$F$10,fxet80_agre!$F$12,fxet80_agre!$F$14,fxet80_agre!$F$16,fxet80_agre!$F$18,fxet80_agre!$F$20)</c:f>
              <c:numCache>
                <c:formatCode>0.0</c:formatCode>
                <c:ptCount val="9"/>
                <c:pt idx="0" formatCode="General">
                  <c:v>12</c:v>
                </c:pt>
                <c:pt idx="1" formatCode="General">
                  <c:v>45</c:v>
                </c:pt>
                <c:pt idx="2" formatCode="General">
                  <c:v>21</c:v>
                </c:pt>
                <c:pt idx="3" formatCode="General">
                  <c:v>19</c:v>
                </c:pt>
                <c:pt idx="4" formatCode="General">
                  <c:v>20</c:v>
                </c:pt>
                <c:pt idx="5" formatCode="General">
                  <c:v>17</c:v>
                </c:pt>
                <c:pt idx="6" formatCode="General">
                  <c:v>15</c:v>
                </c:pt>
                <c:pt idx="7" formatCode="General">
                  <c:v>12</c:v>
                </c:pt>
                <c:pt idx="8" formatCode="General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CA-4F44-BBB8-EB171531F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41755424"/>
        <c:axId val="541752160"/>
      </c:barChart>
      <c:catAx>
        <c:axId val="54175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2160"/>
        <c:crosses val="autoZero"/>
        <c:auto val="1"/>
        <c:lblAlgn val="ctr"/>
        <c:lblOffset val="100"/>
        <c:noMultiLvlLbl val="0"/>
      </c:catAx>
      <c:valAx>
        <c:axId val="5417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tviol_ind_fxet80_auto!$A$4:$B$4</c:f>
              <c:strCache>
                <c:ptCount val="2"/>
                <c:pt idx="0">
                  <c:v>Múltipla</c:v>
                </c:pt>
                <c:pt idx="1">
                  <c:v>núm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tviol_ind_fxet80_auto!$C$3:$K$3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tviol_ind_fxet80_auto!$C$4:$K$4</c:f>
              <c:numCache>
                <c:formatCode>General</c:formatCode>
                <c:ptCount val="9"/>
                <c:pt idx="0">
                  <c:v>140</c:v>
                </c:pt>
                <c:pt idx="1">
                  <c:v>542</c:v>
                </c:pt>
                <c:pt idx="2">
                  <c:v>424</c:v>
                </c:pt>
                <c:pt idx="3">
                  <c:v>412</c:v>
                </c:pt>
                <c:pt idx="4">
                  <c:v>324</c:v>
                </c:pt>
                <c:pt idx="5">
                  <c:v>257</c:v>
                </c:pt>
                <c:pt idx="6">
                  <c:v>244</c:v>
                </c:pt>
                <c:pt idx="7">
                  <c:v>180</c:v>
                </c:pt>
                <c:pt idx="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6-4059-A745-61855B16B173}"/>
            </c:ext>
          </c:extLst>
        </c:ser>
        <c:ser>
          <c:idx val="2"/>
          <c:order val="2"/>
          <c:tx>
            <c:strRef>
              <c:f>tviol_ind_fxet80_auto!$A$6:$B$6</c:f>
              <c:strCache>
                <c:ptCount val="2"/>
                <c:pt idx="0">
                  <c:v>Negligência</c:v>
                </c:pt>
                <c:pt idx="1">
                  <c:v>núm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tviol_ind_fxet80_auto!$C$3:$K$3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tviol_ind_fxet80_auto!$C$6:$K$6</c:f>
              <c:numCache>
                <c:formatCode>General</c:formatCode>
                <c:ptCount val="9"/>
                <c:pt idx="0">
                  <c:v>270</c:v>
                </c:pt>
                <c:pt idx="1">
                  <c:v>197</c:v>
                </c:pt>
                <c:pt idx="2">
                  <c:v>58</c:v>
                </c:pt>
                <c:pt idx="3">
                  <c:v>46</c:v>
                </c:pt>
                <c:pt idx="4">
                  <c:v>70</c:v>
                </c:pt>
                <c:pt idx="5">
                  <c:v>126</c:v>
                </c:pt>
                <c:pt idx="6">
                  <c:v>218</c:v>
                </c:pt>
                <c:pt idx="7">
                  <c:v>257</c:v>
                </c:pt>
                <c:pt idx="8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6-4059-A745-61855B16B173}"/>
            </c:ext>
          </c:extLst>
        </c:ser>
        <c:ser>
          <c:idx val="4"/>
          <c:order val="4"/>
          <c:tx>
            <c:strRef>
              <c:f>tviol_ind_fxet80_auto!$A$8:$B$8</c:f>
              <c:strCache>
                <c:ptCount val="2"/>
                <c:pt idx="0">
                  <c:v>Outro</c:v>
                </c:pt>
                <c:pt idx="1">
                  <c:v>núm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tviol_ind_fxet80_auto!$C$3:$K$3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tviol_ind_fxet80_auto!$C$8:$K$8</c:f>
              <c:numCache>
                <c:formatCode>General</c:formatCode>
                <c:ptCount val="9"/>
                <c:pt idx="0">
                  <c:v>16</c:v>
                </c:pt>
                <c:pt idx="1">
                  <c:v>333</c:v>
                </c:pt>
                <c:pt idx="2">
                  <c:v>338</c:v>
                </c:pt>
                <c:pt idx="3">
                  <c:v>315</c:v>
                </c:pt>
                <c:pt idx="4">
                  <c:v>255</c:v>
                </c:pt>
                <c:pt idx="5">
                  <c:v>124</c:v>
                </c:pt>
                <c:pt idx="6">
                  <c:v>46</c:v>
                </c:pt>
                <c:pt idx="7">
                  <c:v>29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46-4059-A745-61855B16B173}"/>
            </c:ext>
          </c:extLst>
        </c:ser>
        <c:ser>
          <c:idx val="6"/>
          <c:order val="6"/>
          <c:tx>
            <c:strRef>
              <c:f>tviol_ind_fxet80_auto!$A$10:$B$10</c:f>
              <c:strCache>
                <c:ptCount val="2"/>
                <c:pt idx="0">
                  <c:v>V. Física</c:v>
                </c:pt>
                <c:pt idx="1">
                  <c:v>núm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tviol_ind_fxet80_auto!$C$3:$K$3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tviol_ind_fxet80_auto!$C$10:$K$10</c:f>
              <c:numCache>
                <c:formatCode>General</c:formatCode>
                <c:ptCount val="9"/>
                <c:pt idx="0">
                  <c:v>81</c:v>
                </c:pt>
                <c:pt idx="1">
                  <c:v>517</c:v>
                </c:pt>
                <c:pt idx="2">
                  <c:v>634</c:v>
                </c:pt>
                <c:pt idx="3">
                  <c:v>614</c:v>
                </c:pt>
                <c:pt idx="4">
                  <c:v>523</c:v>
                </c:pt>
                <c:pt idx="5">
                  <c:v>311</c:v>
                </c:pt>
                <c:pt idx="6">
                  <c:v>205</c:v>
                </c:pt>
                <c:pt idx="7">
                  <c:v>115</c:v>
                </c:pt>
                <c:pt idx="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46-4059-A745-61855B16B173}"/>
            </c:ext>
          </c:extLst>
        </c:ser>
        <c:ser>
          <c:idx val="8"/>
          <c:order val="8"/>
          <c:tx>
            <c:strRef>
              <c:f>tviol_ind_fxet80_auto!$A$12:$B$12</c:f>
              <c:strCache>
                <c:ptCount val="2"/>
                <c:pt idx="0">
                  <c:v>V. Psico</c:v>
                </c:pt>
                <c:pt idx="1">
                  <c:v>núm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tviol_ind_fxet80_auto!$C$3:$K$3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tviol_ind_fxet80_auto!$C$12:$K$12</c:f>
              <c:numCache>
                <c:formatCode>General</c:formatCode>
                <c:ptCount val="9"/>
                <c:pt idx="0">
                  <c:v>23</c:v>
                </c:pt>
                <c:pt idx="1">
                  <c:v>52</c:v>
                </c:pt>
                <c:pt idx="2">
                  <c:v>46</c:v>
                </c:pt>
                <c:pt idx="3">
                  <c:v>65</c:v>
                </c:pt>
                <c:pt idx="4">
                  <c:v>59</c:v>
                </c:pt>
                <c:pt idx="5">
                  <c:v>51</c:v>
                </c:pt>
                <c:pt idx="6">
                  <c:v>52</c:v>
                </c:pt>
                <c:pt idx="7">
                  <c:v>40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46-4059-A745-61855B16B173}"/>
            </c:ext>
          </c:extLst>
        </c:ser>
        <c:ser>
          <c:idx val="10"/>
          <c:order val="10"/>
          <c:tx>
            <c:strRef>
              <c:f>tviol_ind_fxet80_auto!$A$14:$B$14</c:f>
              <c:strCache>
                <c:ptCount val="2"/>
                <c:pt idx="0">
                  <c:v>V. Sexual</c:v>
                </c:pt>
                <c:pt idx="1">
                  <c:v>núm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tviol_ind_fxet80_auto!$C$3:$K$3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mais</c:v>
                </c:pt>
              </c:strCache>
            </c:strRef>
          </c:cat>
          <c:val>
            <c:numRef>
              <c:f>tviol_ind_fxet80_auto!$C$14:$K$14</c:f>
              <c:numCache>
                <c:formatCode>General</c:formatCode>
                <c:ptCount val="9"/>
                <c:pt idx="0">
                  <c:v>130</c:v>
                </c:pt>
                <c:pt idx="1">
                  <c:v>409</c:v>
                </c:pt>
                <c:pt idx="2">
                  <c:v>167</c:v>
                </c:pt>
                <c:pt idx="3">
                  <c:v>82</c:v>
                </c:pt>
                <c:pt idx="4">
                  <c:v>56</c:v>
                </c:pt>
                <c:pt idx="5">
                  <c:v>30</c:v>
                </c:pt>
                <c:pt idx="6">
                  <c:v>16</c:v>
                </c:pt>
                <c:pt idx="7">
                  <c:v>6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46-4059-A745-61855B16B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760864"/>
        <c:axId val="5417586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tviol_ind_fxet80_auto!$A$5:$B$5</c15:sqref>
                        </c15:formulaRef>
                      </c:ext>
                    </c:extLst>
                    <c:strCache>
                      <c:ptCount val="2"/>
                      <c:pt idx="0">
                        <c:v>Múltipla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tviol_ind_fxet80_auto!$C$3:$K$3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tviol_ind_fxet80_auto!$C$5:$K$5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5.28</c:v>
                      </c:pt>
                      <c:pt idx="1">
                        <c:v>20.43</c:v>
                      </c:pt>
                      <c:pt idx="2">
                        <c:v>15.98</c:v>
                      </c:pt>
                      <c:pt idx="3">
                        <c:v>15.53</c:v>
                      </c:pt>
                      <c:pt idx="4">
                        <c:v>12.21</c:v>
                      </c:pt>
                      <c:pt idx="5">
                        <c:v>9.69</c:v>
                      </c:pt>
                      <c:pt idx="6">
                        <c:v>9.1999999999999993</c:v>
                      </c:pt>
                      <c:pt idx="7">
                        <c:v>6.78</c:v>
                      </c:pt>
                      <c:pt idx="8">
                        <c:v>4.9000000000000004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146-4059-A745-61855B16B17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tviol_ind_fxet80_auto!$A$7:$B$7</c15:sqref>
                        </c15:formulaRef>
                      </c:ext>
                    </c:extLst>
                    <c:strCache>
                      <c:ptCount val="2"/>
                      <c:pt idx="0">
                        <c:v>Negligência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tviol_ind_fxet80_auto!$C$7:$K$7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17.899999999999999</c:v>
                      </c:pt>
                      <c:pt idx="1">
                        <c:v>13.06</c:v>
                      </c:pt>
                      <c:pt idx="2">
                        <c:v>3.85</c:v>
                      </c:pt>
                      <c:pt idx="3">
                        <c:v>3.05</c:v>
                      </c:pt>
                      <c:pt idx="4">
                        <c:v>4.6399999999999997</c:v>
                      </c:pt>
                      <c:pt idx="5">
                        <c:v>8.36</c:v>
                      </c:pt>
                      <c:pt idx="6">
                        <c:v>14.46</c:v>
                      </c:pt>
                      <c:pt idx="7">
                        <c:v>17.04</c:v>
                      </c:pt>
                      <c:pt idx="8">
                        <c:v>17.64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146-4059-A745-61855B16B17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tviol_ind_fxet80_auto!$A$9:$B$9</c15:sqref>
                        </c15:formulaRef>
                      </c:ext>
                    </c:extLst>
                    <c:strCache>
                      <c:ptCount val="2"/>
                      <c:pt idx="0">
                        <c:v>Outro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tviol_ind_fxet80_auto!$C$9:$K$9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1.0900000000000001</c:v>
                      </c:pt>
                      <c:pt idx="1">
                        <c:v>22.67</c:v>
                      </c:pt>
                      <c:pt idx="2">
                        <c:v>23.01</c:v>
                      </c:pt>
                      <c:pt idx="3">
                        <c:v>21.44</c:v>
                      </c:pt>
                      <c:pt idx="4">
                        <c:v>17.36</c:v>
                      </c:pt>
                      <c:pt idx="5">
                        <c:v>8.44</c:v>
                      </c:pt>
                      <c:pt idx="6">
                        <c:v>3.13</c:v>
                      </c:pt>
                      <c:pt idx="7">
                        <c:v>1.97</c:v>
                      </c:pt>
                      <c:pt idx="8">
                        <c:v>0.88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46-4059-A745-61855B16B173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tviol_ind_fxet80_auto!$A$11:$B$11</c15:sqref>
                        </c15:formulaRef>
                      </c:ext>
                    </c:extLst>
                    <c:strCache>
                      <c:ptCount val="2"/>
                      <c:pt idx="0">
                        <c:v>V. Física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tviol_ind_fxet80_auto!$C$11:$K$11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2.65</c:v>
                      </c:pt>
                      <c:pt idx="1">
                        <c:v>16.88</c:v>
                      </c:pt>
                      <c:pt idx="2">
                        <c:v>20.71</c:v>
                      </c:pt>
                      <c:pt idx="3">
                        <c:v>20.05</c:v>
                      </c:pt>
                      <c:pt idx="4">
                        <c:v>17.079999999999998</c:v>
                      </c:pt>
                      <c:pt idx="5">
                        <c:v>10.16</c:v>
                      </c:pt>
                      <c:pt idx="6">
                        <c:v>6.69</c:v>
                      </c:pt>
                      <c:pt idx="7">
                        <c:v>3.76</c:v>
                      </c:pt>
                      <c:pt idx="8">
                        <c:v>2.02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46-4059-A745-61855B16B173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tviol_ind_fxet80_auto!$A$13:$B$13</c15:sqref>
                        </c15:formulaRef>
                      </c:ext>
                    </c:extLst>
                    <c:strCache>
                      <c:ptCount val="2"/>
                      <c:pt idx="0">
                        <c:v>V. Psico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tviol_ind_fxet80_auto!$C$13:$K$13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5.53</c:v>
                      </c:pt>
                      <c:pt idx="1">
                        <c:v>12.5</c:v>
                      </c:pt>
                      <c:pt idx="2">
                        <c:v>11.06</c:v>
                      </c:pt>
                      <c:pt idx="3">
                        <c:v>15.63</c:v>
                      </c:pt>
                      <c:pt idx="4">
                        <c:v>14.18</c:v>
                      </c:pt>
                      <c:pt idx="5">
                        <c:v>12.26</c:v>
                      </c:pt>
                      <c:pt idx="6">
                        <c:v>12.5</c:v>
                      </c:pt>
                      <c:pt idx="7">
                        <c:v>9.6199999999999992</c:v>
                      </c:pt>
                      <c:pt idx="8">
                        <c:v>6.73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46-4059-A745-61855B16B173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tviol_ind_fxet80_auto!$A$15:$B$15</c15:sqref>
                        </c15:formulaRef>
                      </c:ext>
                    </c:extLst>
                    <c:strCache>
                      <c:ptCount val="2"/>
                      <c:pt idx="0">
                        <c:v>V. Sexual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mais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tviol_ind_fxet80_auto!$C$15:$K$15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14.4</c:v>
                      </c:pt>
                      <c:pt idx="1">
                        <c:v>45.29</c:v>
                      </c:pt>
                      <c:pt idx="2">
                        <c:v>18.489999999999998</c:v>
                      </c:pt>
                      <c:pt idx="3">
                        <c:v>9.08</c:v>
                      </c:pt>
                      <c:pt idx="4">
                        <c:v>6.2</c:v>
                      </c:pt>
                      <c:pt idx="5">
                        <c:v>3.32</c:v>
                      </c:pt>
                      <c:pt idx="6">
                        <c:v>1.77</c:v>
                      </c:pt>
                      <c:pt idx="7">
                        <c:v>0.66</c:v>
                      </c:pt>
                      <c:pt idx="8">
                        <c:v>0.78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146-4059-A745-61855B16B173}"/>
                  </c:ext>
                </c:extLst>
              </c15:ser>
            </c15:filteredBarSeries>
          </c:ext>
        </c:extLst>
      </c:barChart>
      <c:catAx>
        <c:axId val="54176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8688"/>
        <c:crosses val="autoZero"/>
        <c:auto val="1"/>
        <c:lblAlgn val="ctr"/>
        <c:lblOffset val="100"/>
        <c:noMultiLvlLbl val="0"/>
      </c:catAx>
      <c:valAx>
        <c:axId val="5417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6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'tipodef-tviol_ind_auto'!$A$4:$B$4</c:f>
              <c:strCache>
                <c:ptCount val="2"/>
                <c:pt idx="0">
                  <c:v>Intelectual</c:v>
                </c:pt>
                <c:pt idx="1">
                  <c:v>núm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'tipodef-tviol_ind_auto'!$C$3:$H$3</c:f>
              <c:strCache>
                <c:ptCount val="6"/>
                <c:pt idx="0">
                  <c:v>V.Física</c:v>
                </c:pt>
                <c:pt idx="1">
                  <c:v>Múltipla</c:v>
                </c:pt>
                <c:pt idx="2">
                  <c:v>Negligência</c:v>
                </c:pt>
                <c:pt idx="3">
                  <c:v>Outro</c:v>
                </c:pt>
                <c:pt idx="4">
                  <c:v>V. Sexual</c:v>
                </c:pt>
                <c:pt idx="5">
                  <c:v>V. Psico</c:v>
                </c:pt>
              </c:strCache>
            </c:strRef>
          </c:cat>
          <c:val>
            <c:numRef>
              <c:f>'tipodef-tviol_ind_auto'!$C$4:$H$4</c:f>
              <c:numCache>
                <c:formatCode>0</c:formatCode>
                <c:ptCount val="6"/>
                <c:pt idx="0">
                  <c:v>1381</c:v>
                </c:pt>
                <c:pt idx="1">
                  <c:v>1199</c:v>
                </c:pt>
                <c:pt idx="2">
                  <c:v>394</c:v>
                </c:pt>
                <c:pt idx="3">
                  <c:v>954</c:v>
                </c:pt>
                <c:pt idx="4">
                  <c:v>624</c:v>
                </c:pt>
                <c:pt idx="5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3-453D-9A1C-4D5BEB2A2737}"/>
            </c:ext>
          </c:extLst>
        </c:ser>
        <c:ser>
          <c:idx val="2"/>
          <c:order val="2"/>
          <c:tx>
            <c:strRef>
              <c:f>'tipodef-tviol_ind_auto'!$A$6:$B$6</c:f>
              <c:strCache>
                <c:ptCount val="2"/>
                <c:pt idx="0">
                  <c:v>Física</c:v>
                </c:pt>
                <c:pt idx="1">
                  <c:v>núm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'tipodef-tviol_ind_auto'!$C$3:$H$3</c:f>
              <c:strCache>
                <c:ptCount val="6"/>
                <c:pt idx="0">
                  <c:v>V.Física</c:v>
                </c:pt>
                <c:pt idx="1">
                  <c:v>Múltipla</c:v>
                </c:pt>
                <c:pt idx="2">
                  <c:v>Negligência</c:v>
                </c:pt>
                <c:pt idx="3">
                  <c:v>Outro</c:v>
                </c:pt>
                <c:pt idx="4">
                  <c:v>V. Sexual</c:v>
                </c:pt>
                <c:pt idx="5">
                  <c:v>V. Psico</c:v>
                </c:pt>
              </c:strCache>
            </c:strRef>
          </c:cat>
          <c:val>
            <c:numRef>
              <c:f>'tipodef-tviol_ind_auto'!$C$6:$H$6</c:f>
              <c:numCache>
                <c:formatCode>General</c:formatCode>
                <c:ptCount val="6"/>
                <c:pt idx="0">
                  <c:v>1001</c:v>
                </c:pt>
                <c:pt idx="1">
                  <c:v>662</c:v>
                </c:pt>
                <c:pt idx="2">
                  <c:v>564</c:v>
                </c:pt>
                <c:pt idx="3">
                  <c:v>236</c:v>
                </c:pt>
                <c:pt idx="4">
                  <c:v>94</c:v>
                </c:pt>
                <c:pt idx="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63-453D-9A1C-4D5BEB2A2737}"/>
            </c:ext>
          </c:extLst>
        </c:ser>
        <c:ser>
          <c:idx val="4"/>
          <c:order val="4"/>
          <c:tx>
            <c:strRef>
              <c:f>'tipodef-tviol_ind_auto'!$A$8:$B$8</c:f>
              <c:strCache>
                <c:ptCount val="2"/>
                <c:pt idx="0">
                  <c:v>Múltipla</c:v>
                </c:pt>
                <c:pt idx="1">
                  <c:v>núm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'tipodef-tviol_ind_auto'!$C$3:$H$3</c:f>
              <c:strCache>
                <c:ptCount val="6"/>
                <c:pt idx="0">
                  <c:v>V.Física</c:v>
                </c:pt>
                <c:pt idx="1">
                  <c:v>Múltipla</c:v>
                </c:pt>
                <c:pt idx="2">
                  <c:v>Negligência</c:v>
                </c:pt>
                <c:pt idx="3">
                  <c:v>Outro</c:v>
                </c:pt>
                <c:pt idx="4">
                  <c:v>V. Sexual</c:v>
                </c:pt>
                <c:pt idx="5">
                  <c:v>V. Psico</c:v>
                </c:pt>
              </c:strCache>
            </c:strRef>
          </c:cat>
          <c:val>
            <c:numRef>
              <c:f>'tipodef-tviol_ind_auto'!$C$8:$H$8</c:f>
              <c:numCache>
                <c:formatCode>General</c:formatCode>
                <c:ptCount val="6"/>
                <c:pt idx="0">
                  <c:v>189</c:v>
                </c:pt>
                <c:pt idx="1">
                  <c:v>365</c:v>
                </c:pt>
                <c:pt idx="2">
                  <c:v>334</c:v>
                </c:pt>
                <c:pt idx="3">
                  <c:v>76</c:v>
                </c:pt>
                <c:pt idx="4">
                  <c:v>86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63-453D-9A1C-4D5BEB2A2737}"/>
            </c:ext>
          </c:extLst>
        </c:ser>
        <c:ser>
          <c:idx val="6"/>
          <c:order val="6"/>
          <c:tx>
            <c:strRef>
              <c:f>'tipodef-tviol_ind_auto'!$A$10:$B$10</c:f>
              <c:strCache>
                <c:ptCount val="2"/>
                <c:pt idx="0">
                  <c:v>Visual</c:v>
                </c:pt>
                <c:pt idx="1">
                  <c:v>núm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'tipodef-tviol_ind_auto'!$C$3:$H$3</c:f>
              <c:strCache>
                <c:ptCount val="6"/>
                <c:pt idx="0">
                  <c:v>V.Física</c:v>
                </c:pt>
                <c:pt idx="1">
                  <c:v>Múltipla</c:v>
                </c:pt>
                <c:pt idx="2">
                  <c:v>Negligência</c:v>
                </c:pt>
                <c:pt idx="3">
                  <c:v>Outro</c:v>
                </c:pt>
                <c:pt idx="4">
                  <c:v>V. Sexual</c:v>
                </c:pt>
                <c:pt idx="5">
                  <c:v>V. Psico</c:v>
                </c:pt>
              </c:strCache>
            </c:strRef>
          </c:cat>
          <c:val>
            <c:numRef>
              <c:f>'tipodef-tviol_ind_auto'!$C$10:$H$10</c:f>
              <c:numCache>
                <c:formatCode>General</c:formatCode>
                <c:ptCount val="6"/>
                <c:pt idx="0">
                  <c:v>256</c:v>
                </c:pt>
                <c:pt idx="1">
                  <c:v>250</c:v>
                </c:pt>
                <c:pt idx="2">
                  <c:v>151</c:v>
                </c:pt>
                <c:pt idx="3">
                  <c:v>111</c:v>
                </c:pt>
                <c:pt idx="4">
                  <c:v>46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63-453D-9A1C-4D5BEB2A2737}"/>
            </c:ext>
          </c:extLst>
        </c:ser>
        <c:ser>
          <c:idx val="8"/>
          <c:order val="8"/>
          <c:tx>
            <c:strRef>
              <c:f>'tipodef-tviol_ind_auto'!$A$12:$B$12</c:f>
              <c:strCache>
                <c:ptCount val="2"/>
                <c:pt idx="0">
                  <c:v>Auditiva</c:v>
                </c:pt>
                <c:pt idx="1">
                  <c:v>núm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'tipodef-tviol_ind_auto'!$C$3:$H$3</c:f>
              <c:strCache>
                <c:ptCount val="6"/>
                <c:pt idx="0">
                  <c:v>V.Física</c:v>
                </c:pt>
                <c:pt idx="1">
                  <c:v>Múltipla</c:v>
                </c:pt>
                <c:pt idx="2">
                  <c:v>Negligência</c:v>
                </c:pt>
                <c:pt idx="3">
                  <c:v>Outro</c:v>
                </c:pt>
                <c:pt idx="4">
                  <c:v>V. Sexual</c:v>
                </c:pt>
                <c:pt idx="5">
                  <c:v>V. Psico</c:v>
                </c:pt>
              </c:strCache>
            </c:strRef>
          </c:cat>
          <c:val>
            <c:numRef>
              <c:f>'tipodef-tviol_ind_auto'!$C$12:$H$12</c:f>
              <c:numCache>
                <c:formatCode>General</c:formatCode>
                <c:ptCount val="6"/>
                <c:pt idx="0">
                  <c:v>241</c:v>
                </c:pt>
                <c:pt idx="1">
                  <c:v>183</c:v>
                </c:pt>
                <c:pt idx="2">
                  <c:v>65</c:v>
                </c:pt>
                <c:pt idx="3">
                  <c:v>94</c:v>
                </c:pt>
                <c:pt idx="4">
                  <c:v>55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63-453D-9A1C-4D5BEB2A2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751072"/>
        <c:axId val="5417559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'tipodef-tviol_ind_auto'!$A$5:$B$5</c15:sqref>
                        </c15:formulaRef>
                      </c:ext>
                    </c:extLst>
                    <c:strCache>
                      <c:ptCount val="2"/>
                      <c:pt idx="0">
                        <c:v>Intelectual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'tipodef-tviol_ind_auto'!$C$3:$H$3</c15:sqref>
                        </c15:formulaRef>
                      </c:ext>
                    </c:extLst>
                    <c:strCache>
                      <c:ptCount val="6"/>
                      <c:pt idx="0">
                        <c:v>V.Física</c:v>
                      </c:pt>
                      <c:pt idx="1">
                        <c:v>Múltipla</c:v>
                      </c:pt>
                      <c:pt idx="2">
                        <c:v>Negligência</c:v>
                      </c:pt>
                      <c:pt idx="3">
                        <c:v>Outro</c:v>
                      </c:pt>
                      <c:pt idx="4">
                        <c:v>V. Sexual</c:v>
                      </c:pt>
                      <c:pt idx="5">
                        <c:v>V. Psico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'tipodef-tviol_ind_auto'!$C$5:$H$5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29.22</c:v>
                      </c:pt>
                      <c:pt idx="1">
                        <c:v>25.37</c:v>
                      </c:pt>
                      <c:pt idx="2">
                        <c:v>8.34</c:v>
                      </c:pt>
                      <c:pt idx="3">
                        <c:v>20.190000000000001</c:v>
                      </c:pt>
                      <c:pt idx="4">
                        <c:v>13.2</c:v>
                      </c:pt>
                      <c:pt idx="5">
                        <c:v>3.68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563-453D-9A1C-4D5BEB2A273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'tipodef-tviol_ind_auto'!$A$7:$B$7</c15:sqref>
                        </c15:formulaRef>
                      </c:ext>
                    </c:extLst>
                    <c:strCache>
                      <c:ptCount val="2"/>
                      <c:pt idx="0">
                        <c:v>Física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'tipodef-tviol_ind_auto'!$C$3:$H$3</c15:sqref>
                        </c15:formulaRef>
                      </c:ext>
                    </c:extLst>
                    <c:strCache>
                      <c:ptCount val="6"/>
                      <c:pt idx="0">
                        <c:v>V.Física</c:v>
                      </c:pt>
                      <c:pt idx="1">
                        <c:v>Múltipla</c:v>
                      </c:pt>
                      <c:pt idx="2">
                        <c:v>Negligência</c:v>
                      </c:pt>
                      <c:pt idx="3">
                        <c:v>Outro</c:v>
                      </c:pt>
                      <c:pt idx="4">
                        <c:v>V. Sexual</c:v>
                      </c:pt>
                      <c:pt idx="5">
                        <c:v>V. Psico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'tipodef-tviol_ind_auto'!$C$7:$H$7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37.31</c:v>
                      </c:pt>
                      <c:pt idx="1">
                        <c:v>24.67</c:v>
                      </c:pt>
                      <c:pt idx="2">
                        <c:v>21.02</c:v>
                      </c:pt>
                      <c:pt idx="3">
                        <c:v>8.8000000000000007</c:v>
                      </c:pt>
                      <c:pt idx="4">
                        <c:v>3.5</c:v>
                      </c:pt>
                      <c:pt idx="5">
                        <c:v>4.7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563-453D-9A1C-4D5BEB2A273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'tipodef-tviol_ind_auto'!$A$9:$B$9</c15:sqref>
                        </c15:formulaRef>
                      </c:ext>
                    </c:extLst>
                    <c:strCache>
                      <c:ptCount val="2"/>
                      <c:pt idx="0">
                        <c:v>Múltipla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'tipodef-tviol_ind_auto'!$C$3:$H$3</c15:sqref>
                        </c15:formulaRef>
                      </c:ext>
                    </c:extLst>
                    <c:strCache>
                      <c:ptCount val="6"/>
                      <c:pt idx="0">
                        <c:v>V.Física</c:v>
                      </c:pt>
                      <c:pt idx="1">
                        <c:v>Múltipla</c:v>
                      </c:pt>
                      <c:pt idx="2">
                        <c:v>Negligência</c:v>
                      </c:pt>
                      <c:pt idx="3">
                        <c:v>Outro</c:v>
                      </c:pt>
                      <c:pt idx="4">
                        <c:v>V. Sexual</c:v>
                      </c:pt>
                      <c:pt idx="5">
                        <c:v>V. Psico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'tipodef-tviol_ind_auto'!$C$9:$H$9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17.399999999999999</c:v>
                      </c:pt>
                      <c:pt idx="1">
                        <c:v>33.61</c:v>
                      </c:pt>
                      <c:pt idx="2">
                        <c:v>30.76</c:v>
                      </c:pt>
                      <c:pt idx="3">
                        <c:v>7</c:v>
                      </c:pt>
                      <c:pt idx="4">
                        <c:v>7.92</c:v>
                      </c:pt>
                      <c:pt idx="5">
                        <c:v>3.31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563-453D-9A1C-4D5BEB2A273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'tipodef-tviol_ind_auto'!$A$11:$B$11</c15:sqref>
                        </c15:formulaRef>
                      </c:ext>
                    </c:extLst>
                    <c:strCache>
                      <c:ptCount val="2"/>
                      <c:pt idx="0">
                        <c:v>Visual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'tipodef-tviol_ind_auto'!$C$3:$H$3</c15:sqref>
                        </c15:formulaRef>
                      </c:ext>
                    </c:extLst>
                    <c:strCache>
                      <c:ptCount val="6"/>
                      <c:pt idx="0">
                        <c:v>V.Física</c:v>
                      </c:pt>
                      <c:pt idx="1">
                        <c:v>Múltipla</c:v>
                      </c:pt>
                      <c:pt idx="2">
                        <c:v>Negligência</c:v>
                      </c:pt>
                      <c:pt idx="3">
                        <c:v>Outro</c:v>
                      </c:pt>
                      <c:pt idx="4">
                        <c:v>V. Sexual</c:v>
                      </c:pt>
                      <c:pt idx="5">
                        <c:v>V. Psico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'tipodef-tviol_ind_auto'!$C$11:$H$11</c15:sqref>
                        </c15:formulaRef>
                      </c:ext>
                    </c:extLst>
                    <c:numCache>
                      <c:formatCode>0.0</c:formatCode>
                      <c:ptCount val="6"/>
                      <c:pt idx="0">
                        <c:v>29.66</c:v>
                      </c:pt>
                      <c:pt idx="1">
                        <c:v>28.97</c:v>
                      </c:pt>
                      <c:pt idx="2">
                        <c:v>17.5</c:v>
                      </c:pt>
                      <c:pt idx="3">
                        <c:v>12.86</c:v>
                      </c:pt>
                      <c:pt idx="4">
                        <c:v>5.33</c:v>
                      </c:pt>
                      <c:pt idx="5">
                        <c:v>5.68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563-453D-9A1C-4D5BEB2A2737}"/>
                  </c:ext>
                </c:extLst>
              </c15:ser>
            </c15:filteredBarSeries>
          </c:ext>
        </c:extLst>
      </c:barChart>
      <c:catAx>
        <c:axId val="5417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5968"/>
        <c:crosses val="autoZero"/>
        <c:auto val="1"/>
        <c:lblAlgn val="ctr"/>
        <c:lblOffset val="100"/>
        <c:noMultiLvlLbl val="0"/>
      </c:catAx>
      <c:valAx>
        <c:axId val="54175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tipodef_t_violência_auto!$A$4</c:f>
              <c:strCache>
                <c:ptCount val="1"/>
                <c:pt idx="0">
                  <c:v>Intelectual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tipodef_t_violência_auto!$C$3:$G$3</c:f>
              <c:strCache>
                <c:ptCount val="5"/>
                <c:pt idx="0">
                  <c:v>V.  Física</c:v>
                </c:pt>
                <c:pt idx="1">
                  <c:v>V. Psicológica1</c:v>
                </c:pt>
                <c:pt idx="2">
                  <c:v>Neglig./aband.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tipodef_t_violência_auto!$C$4:$G$4</c:f>
              <c:numCache>
                <c:formatCode>0</c:formatCode>
                <c:ptCount val="5"/>
                <c:pt idx="0">
                  <c:v>2383</c:v>
                </c:pt>
                <c:pt idx="1">
                  <c:v>1026</c:v>
                </c:pt>
                <c:pt idx="2">
                  <c:v>645</c:v>
                </c:pt>
                <c:pt idx="3" formatCode="General">
                  <c:v>1296</c:v>
                </c:pt>
                <c:pt idx="4">
                  <c:v>1074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A-4290-BDE9-199B4AD88675}"/>
            </c:ext>
          </c:extLst>
        </c:ser>
        <c:ser>
          <c:idx val="2"/>
          <c:order val="2"/>
          <c:tx>
            <c:strRef>
              <c:f>tipodef_t_violência_auto!$A$6</c:f>
              <c:strCache>
                <c:ptCount val="1"/>
                <c:pt idx="0">
                  <c:v>Física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tipodef_t_violência_auto!$C$3:$G$3</c:f>
              <c:strCache>
                <c:ptCount val="5"/>
                <c:pt idx="0">
                  <c:v>V.  Física</c:v>
                </c:pt>
                <c:pt idx="1">
                  <c:v>V. Psicológica1</c:v>
                </c:pt>
                <c:pt idx="2">
                  <c:v>Neglig./aband.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tipodef_t_violência_auto!$C$6:$G$6</c:f>
              <c:numCache>
                <c:formatCode>0</c:formatCode>
                <c:ptCount val="5"/>
                <c:pt idx="0">
                  <c:v>1522</c:v>
                </c:pt>
                <c:pt idx="1">
                  <c:v>683</c:v>
                </c:pt>
                <c:pt idx="2">
                  <c:v>798</c:v>
                </c:pt>
                <c:pt idx="3" formatCode="General">
                  <c:v>375</c:v>
                </c:pt>
                <c:pt idx="4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A-4290-BDE9-199B4AD88675}"/>
            </c:ext>
          </c:extLst>
        </c:ser>
        <c:ser>
          <c:idx val="4"/>
          <c:order val="4"/>
          <c:tx>
            <c:strRef>
              <c:f>tipodef_t_violência_auto!$A$8</c:f>
              <c:strCache>
                <c:ptCount val="1"/>
                <c:pt idx="0">
                  <c:v>Múltipla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tipodef_t_violência_auto!$C$3:$G$3</c:f>
              <c:strCache>
                <c:ptCount val="5"/>
                <c:pt idx="0">
                  <c:v>V.  Física</c:v>
                </c:pt>
                <c:pt idx="1">
                  <c:v>V. Psicológica1</c:v>
                </c:pt>
                <c:pt idx="2">
                  <c:v>Neglig./aband.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tipodef_t_violência_auto!$C$8:$G$8</c:f>
              <c:numCache>
                <c:formatCode>0</c:formatCode>
                <c:ptCount val="5"/>
                <c:pt idx="0">
                  <c:v>486</c:v>
                </c:pt>
                <c:pt idx="1">
                  <c:v>339</c:v>
                </c:pt>
                <c:pt idx="2">
                  <c:v>508</c:v>
                </c:pt>
                <c:pt idx="3" formatCode="General">
                  <c:v>139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8A-4290-BDE9-199B4AD88675}"/>
            </c:ext>
          </c:extLst>
        </c:ser>
        <c:ser>
          <c:idx val="6"/>
          <c:order val="6"/>
          <c:tx>
            <c:strRef>
              <c:f>tipodef_t_violência_auto!$A$10</c:f>
              <c:strCache>
                <c:ptCount val="1"/>
                <c:pt idx="0">
                  <c:v>Visual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tipodef_t_violência_auto!$C$3:$G$3</c:f>
              <c:strCache>
                <c:ptCount val="5"/>
                <c:pt idx="0">
                  <c:v>V.  Física</c:v>
                </c:pt>
                <c:pt idx="1">
                  <c:v>V. Psicológica1</c:v>
                </c:pt>
                <c:pt idx="2">
                  <c:v>Neglig./aband.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tipodef_t_violência_auto!$C$10:$G$10</c:f>
              <c:numCache>
                <c:formatCode>0</c:formatCode>
                <c:ptCount val="5"/>
                <c:pt idx="0">
                  <c:v>456</c:v>
                </c:pt>
                <c:pt idx="1">
                  <c:v>270</c:v>
                </c:pt>
                <c:pt idx="2">
                  <c:v>223</c:v>
                </c:pt>
                <c:pt idx="3" formatCode="General">
                  <c:v>173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8A-4290-BDE9-199B4AD88675}"/>
            </c:ext>
          </c:extLst>
        </c:ser>
        <c:ser>
          <c:idx val="8"/>
          <c:order val="8"/>
          <c:tx>
            <c:strRef>
              <c:f>tipodef_t_violência_auto!$A$12</c:f>
              <c:strCache>
                <c:ptCount val="1"/>
                <c:pt idx="0">
                  <c:v>Auditiva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tipodef_t_violência_auto!$C$3:$G$3</c:f>
              <c:strCache>
                <c:ptCount val="5"/>
                <c:pt idx="0">
                  <c:v>V.  Física</c:v>
                </c:pt>
                <c:pt idx="1">
                  <c:v>V. Psicológica1</c:v>
                </c:pt>
                <c:pt idx="2">
                  <c:v>Neglig./aband.</c:v>
                </c:pt>
                <c:pt idx="3">
                  <c:v>Outros2</c:v>
                </c:pt>
                <c:pt idx="4">
                  <c:v>V. sexual</c:v>
                </c:pt>
              </c:strCache>
            </c:strRef>
          </c:cat>
          <c:val>
            <c:numRef>
              <c:f>tipodef_t_violência_auto!$C$12:$G$12</c:f>
              <c:numCache>
                <c:formatCode>0</c:formatCode>
                <c:ptCount val="5"/>
                <c:pt idx="0">
                  <c:v>393</c:v>
                </c:pt>
                <c:pt idx="1">
                  <c:v>182</c:v>
                </c:pt>
                <c:pt idx="2">
                  <c:v>90</c:v>
                </c:pt>
                <c:pt idx="3" formatCode="General">
                  <c:v>125</c:v>
                </c:pt>
                <c:pt idx="4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8A-4290-BDE9-199B4AD88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753248"/>
        <c:axId val="54175651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tipodef_t_violência_auto!$A$5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tipodef_t_violência_auto!$C$3:$G$3</c15:sqref>
                        </c15:formulaRef>
                      </c:ext>
                    </c:extLst>
                    <c:strCache>
                      <c:ptCount val="5"/>
                      <c:pt idx="0">
                        <c:v>V.  Física</c:v>
                      </c:pt>
                      <c:pt idx="1">
                        <c:v>V. Psicológica1</c:v>
                      </c:pt>
                      <c:pt idx="2">
                        <c:v>Neglig./aband.</c:v>
                      </c:pt>
                      <c:pt idx="3">
                        <c:v>Outros2</c:v>
                      </c:pt>
                      <c:pt idx="4">
                        <c:v>V. sexual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tipodef_t_violência_auto!$C$5:$G$5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47.375745526838962</c:v>
                      </c:pt>
                      <c:pt idx="1">
                        <c:v>20.397614314115309</c:v>
                      </c:pt>
                      <c:pt idx="2">
                        <c:v>12.823061630218687</c:v>
                      </c:pt>
                      <c:pt idx="3">
                        <c:v>25.76540755467197</c:v>
                      </c:pt>
                      <c:pt idx="4">
                        <c:v>21.351888667992046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38A-4290-BDE9-199B4AD8867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tipodef_t_violência_auto!$A$7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tipodef_t_violência_auto!$C$3:$G$3</c15:sqref>
                        </c15:formulaRef>
                      </c:ext>
                    </c:extLst>
                    <c:strCache>
                      <c:ptCount val="5"/>
                      <c:pt idx="0">
                        <c:v>V.  Física</c:v>
                      </c:pt>
                      <c:pt idx="1">
                        <c:v>V. Psicológica1</c:v>
                      </c:pt>
                      <c:pt idx="2">
                        <c:v>Neglig./aband.</c:v>
                      </c:pt>
                      <c:pt idx="3">
                        <c:v>Outros2</c:v>
                      </c:pt>
                      <c:pt idx="4">
                        <c:v>V. sexual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tipodef_t_violência_auto!$C$7:$G$7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54.649910233393172</c:v>
                      </c:pt>
                      <c:pt idx="1">
                        <c:v>24.524236983842009</c:v>
                      </c:pt>
                      <c:pt idx="2">
                        <c:v>28.653500897666067</c:v>
                      </c:pt>
                      <c:pt idx="3">
                        <c:v>13.464991023339318</c:v>
                      </c:pt>
                      <c:pt idx="4">
                        <c:v>6.1759425493716336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8A-4290-BDE9-199B4AD8867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tipodef_t_violência_auto!$A$9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tipodef_t_violência_auto!$C$3:$G$3</c15:sqref>
                        </c15:formulaRef>
                      </c:ext>
                    </c:extLst>
                    <c:strCache>
                      <c:ptCount val="5"/>
                      <c:pt idx="0">
                        <c:v>V.  Física</c:v>
                      </c:pt>
                      <c:pt idx="1">
                        <c:v>V. Psicológica1</c:v>
                      </c:pt>
                      <c:pt idx="2">
                        <c:v>Neglig./aband.</c:v>
                      </c:pt>
                      <c:pt idx="3">
                        <c:v>Outros2</c:v>
                      </c:pt>
                      <c:pt idx="4">
                        <c:v>V. sexual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tipodef_t_violência_auto!$C$9:$G$9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42.781690140845072</c:v>
                      </c:pt>
                      <c:pt idx="1">
                        <c:v>29.841549295774648</c:v>
                      </c:pt>
                      <c:pt idx="2">
                        <c:v>44.718309859154928</c:v>
                      </c:pt>
                      <c:pt idx="3">
                        <c:v>12.235915492957746</c:v>
                      </c:pt>
                      <c:pt idx="4">
                        <c:v>14.964788732394366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8A-4290-BDE9-199B4AD88675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tipodef_t_violência_auto!$C$3:$G$3</c15:sqref>
                        </c15:formulaRef>
                      </c:ext>
                    </c:extLst>
                    <c:strCache>
                      <c:ptCount val="5"/>
                      <c:pt idx="0">
                        <c:v>V.  Física</c:v>
                      </c:pt>
                      <c:pt idx="1">
                        <c:v>V. Psicológica1</c:v>
                      </c:pt>
                      <c:pt idx="2">
                        <c:v>Neglig./aband.</c:v>
                      </c:pt>
                      <c:pt idx="3">
                        <c:v>Outros2</c:v>
                      </c:pt>
                      <c:pt idx="4">
                        <c:v>V. sexual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tipodef_t_violência_auto!$C$11:$G$11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50.779510022271715</c:v>
                      </c:pt>
                      <c:pt idx="1">
                        <c:v>30.066815144766146</c:v>
                      </c:pt>
                      <c:pt idx="2">
                        <c:v>24.832962138084632</c:v>
                      </c:pt>
                      <c:pt idx="3">
                        <c:v>19.265033407572382</c:v>
                      </c:pt>
                      <c:pt idx="4">
                        <c:v>10.913140311804009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38A-4290-BDE9-199B4AD88675}"/>
                  </c:ext>
                </c:extLst>
              </c15:ser>
            </c15:filteredBarSeries>
          </c:ext>
        </c:extLst>
      </c:barChart>
      <c:catAx>
        <c:axId val="54175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6512"/>
        <c:crosses val="autoZero"/>
        <c:auto val="1"/>
        <c:lblAlgn val="ctr"/>
        <c:lblOffset val="100"/>
        <c:noMultiLvlLbl val="0"/>
      </c:catAx>
      <c:valAx>
        <c:axId val="5417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't_violência x fxet80_auto'!$A$4</c:f>
              <c:strCache>
                <c:ptCount val="1"/>
                <c:pt idx="0">
                  <c:v>V.  Física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't_violência x fxet80_auto'!$C$3:$K$3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fxet80_auto'!$C$4:$K$4</c:f>
              <c:numCache>
                <c:formatCode>General</c:formatCode>
                <c:ptCount val="9"/>
                <c:pt idx="0">
                  <c:v>177</c:v>
                </c:pt>
                <c:pt idx="1">
                  <c:v>932</c:v>
                </c:pt>
                <c:pt idx="2">
                  <c:v>1026</c:v>
                </c:pt>
                <c:pt idx="3">
                  <c:v>1014</c:v>
                </c:pt>
                <c:pt idx="4">
                  <c:v>831</c:v>
                </c:pt>
                <c:pt idx="5">
                  <c:v>528</c:v>
                </c:pt>
                <c:pt idx="6">
                  <c:v>361</c:v>
                </c:pt>
                <c:pt idx="7">
                  <c:v>221</c:v>
                </c:pt>
                <c:pt idx="8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E-4FFC-BBE3-399C69638DA1}"/>
            </c:ext>
          </c:extLst>
        </c:ser>
        <c:ser>
          <c:idx val="2"/>
          <c:order val="2"/>
          <c:tx>
            <c:strRef>
              <c:f>'t_violência x fxet80_auto'!$A$6</c:f>
              <c:strCache>
                <c:ptCount val="1"/>
                <c:pt idx="0">
                  <c:v>V. Psicológica1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't_violência x fxet80_auto'!$C$3:$K$3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fxet80_auto'!$C$6:$K$6</c:f>
              <c:numCache>
                <c:formatCode>General</c:formatCode>
                <c:ptCount val="9"/>
                <c:pt idx="0">
                  <c:v>122</c:v>
                </c:pt>
                <c:pt idx="1">
                  <c:v>440</c:v>
                </c:pt>
                <c:pt idx="2">
                  <c:v>357</c:v>
                </c:pt>
                <c:pt idx="3">
                  <c:v>382</c:v>
                </c:pt>
                <c:pt idx="4">
                  <c:v>316</c:v>
                </c:pt>
                <c:pt idx="5">
                  <c:v>274</c:v>
                </c:pt>
                <c:pt idx="6">
                  <c:v>268</c:v>
                </c:pt>
                <c:pt idx="7">
                  <c:v>194</c:v>
                </c:pt>
                <c:pt idx="8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E-4FFC-BBE3-399C69638DA1}"/>
            </c:ext>
          </c:extLst>
        </c:ser>
        <c:ser>
          <c:idx val="4"/>
          <c:order val="4"/>
          <c:tx>
            <c:strRef>
              <c:f>'t_violência x fxet80_auto'!$A$8</c:f>
              <c:strCache>
                <c:ptCount val="1"/>
                <c:pt idx="0">
                  <c:v>Neglig./aband.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't_violência x fxet80_auto'!$C$3:$K$3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fxet80_auto'!$C$8:$K$8</c:f>
              <c:numCache>
                <c:formatCode>General</c:formatCode>
                <c:ptCount val="9"/>
                <c:pt idx="0">
                  <c:v>352</c:v>
                </c:pt>
                <c:pt idx="1">
                  <c:v>325</c:v>
                </c:pt>
                <c:pt idx="2">
                  <c:v>99</c:v>
                </c:pt>
                <c:pt idx="3">
                  <c:v>88</c:v>
                </c:pt>
                <c:pt idx="4">
                  <c:v>110</c:v>
                </c:pt>
                <c:pt idx="5">
                  <c:v>202</c:v>
                </c:pt>
                <c:pt idx="6">
                  <c:v>346</c:v>
                </c:pt>
                <c:pt idx="7">
                  <c:v>369</c:v>
                </c:pt>
                <c:pt idx="8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5E-4FFC-BBE3-399C69638DA1}"/>
            </c:ext>
          </c:extLst>
        </c:ser>
        <c:ser>
          <c:idx val="6"/>
          <c:order val="6"/>
          <c:tx>
            <c:strRef>
              <c:f>'t_violência x fxet80_auto'!$A$10</c:f>
              <c:strCache>
                <c:ptCount val="1"/>
                <c:pt idx="0">
                  <c:v>Outros2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't_violência x fxet80_auto'!$C$3:$K$3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fxet80_auto'!$C$10:$K$10</c:f>
              <c:numCache>
                <c:formatCode>General</c:formatCode>
                <c:ptCount val="9"/>
                <c:pt idx="0">
                  <c:v>39</c:v>
                </c:pt>
                <c:pt idx="1">
                  <c:v>474</c:v>
                </c:pt>
                <c:pt idx="2">
                  <c:v>449</c:v>
                </c:pt>
                <c:pt idx="3">
                  <c:v>424</c:v>
                </c:pt>
                <c:pt idx="4">
                  <c:v>344</c:v>
                </c:pt>
                <c:pt idx="5">
                  <c:v>185</c:v>
                </c:pt>
                <c:pt idx="6">
                  <c:v>96</c:v>
                </c:pt>
                <c:pt idx="7">
                  <c:v>55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5E-4FFC-BBE3-399C69638DA1}"/>
            </c:ext>
          </c:extLst>
        </c:ser>
        <c:ser>
          <c:idx val="8"/>
          <c:order val="8"/>
          <c:tx>
            <c:strRef>
              <c:f>'t_violência x fxet80_auto'!$A$12</c:f>
              <c:strCache>
                <c:ptCount val="1"/>
                <c:pt idx="0">
                  <c:v>V. sexual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't_violência x fxet80_auto'!$C$3:$K$3</c:f>
              <c:strCache>
                <c:ptCount val="9"/>
                <c:pt idx="0">
                  <c:v>0 a 9</c:v>
                </c:pt>
                <c:pt idx="1">
                  <c:v>10 a 19</c:v>
                </c:pt>
                <c:pt idx="2">
                  <c:v>20 a 29</c:v>
                </c:pt>
                <c:pt idx="3">
                  <c:v>30 a 39</c:v>
                </c:pt>
                <c:pt idx="4">
                  <c:v>40 a 49</c:v>
                </c:pt>
                <c:pt idx="5">
                  <c:v>50 a 59</c:v>
                </c:pt>
                <c:pt idx="6">
                  <c:v>60 a 69</c:v>
                </c:pt>
                <c:pt idx="7">
                  <c:v>70 a 79</c:v>
                </c:pt>
                <c:pt idx="8">
                  <c:v>80 ou +</c:v>
                </c:pt>
              </c:strCache>
            </c:strRef>
          </c:cat>
          <c:val>
            <c:numRef>
              <c:f>'t_violência x fxet80_auto'!$C$12:$K$12</c:f>
              <c:numCache>
                <c:formatCode>General</c:formatCode>
                <c:ptCount val="9"/>
                <c:pt idx="0">
                  <c:v>189</c:v>
                </c:pt>
                <c:pt idx="1">
                  <c:v>700</c:v>
                </c:pt>
                <c:pt idx="2">
                  <c:v>307</c:v>
                </c:pt>
                <c:pt idx="3">
                  <c:v>172</c:v>
                </c:pt>
                <c:pt idx="4">
                  <c:v>124</c:v>
                </c:pt>
                <c:pt idx="5">
                  <c:v>68</c:v>
                </c:pt>
                <c:pt idx="6">
                  <c:v>30</c:v>
                </c:pt>
                <c:pt idx="7">
                  <c:v>17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5E-4FFC-BBE3-399C69638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757056"/>
        <c:axId val="5417619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't_violência x fxet80_auto'!$A$5:$B$5</c15:sqref>
                        </c15:formulaRef>
                      </c:ext>
                    </c:extLst>
                    <c:strCache>
                      <c:ptCount val="2"/>
                      <c:pt idx="0">
                        <c:v>V.  Física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't_violência x fxet80_auto'!$C$3:$K$3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't_violência x fxet80_auto'!$C$5:$K$5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25.578034682080926</c:v>
                      </c:pt>
                      <c:pt idx="1">
                        <c:v>42.811208084519983</c:v>
                      </c:pt>
                      <c:pt idx="2">
                        <c:v>57.966101694915253</c:v>
                      </c:pt>
                      <c:pt idx="3">
                        <c:v>62.942271880819369</c:v>
                      </c:pt>
                      <c:pt idx="4">
                        <c:v>62.014925373134332</c:v>
                      </c:pt>
                      <c:pt idx="5">
                        <c:v>56.350053361792952</c:v>
                      </c:pt>
                      <c:pt idx="6">
                        <c:v>44.29447852760736</c:v>
                      </c:pt>
                      <c:pt idx="7">
                        <c:v>33.895705521472394</c:v>
                      </c:pt>
                      <c:pt idx="8">
                        <c:v>26.565464895635671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F35E-4FFC-BBE3-399C69638DA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fxet80_auto'!$A$7:$B$7</c15:sqref>
                        </c15:formulaRef>
                      </c:ext>
                    </c:extLst>
                    <c:strCache>
                      <c:ptCount val="2"/>
                      <c:pt idx="0">
                        <c:v>V. Psicológica1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fxet80_auto'!$C$7:$K$7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17.630057803468208</c:v>
                      </c:pt>
                      <c:pt idx="1">
                        <c:v>20.211299954065225</c:v>
                      </c:pt>
                      <c:pt idx="2">
                        <c:v>20.16949152542373</c:v>
                      </c:pt>
                      <c:pt idx="3">
                        <c:v>23.711980136561142</c:v>
                      </c:pt>
                      <c:pt idx="4">
                        <c:v>23.582089552238806</c:v>
                      </c:pt>
                      <c:pt idx="5">
                        <c:v>29.242262540021347</c:v>
                      </c:pt>
                      <c:pt idx="6">
                        <c:v>32.883435582822088</c:v>
                      </c:pt>
                      <c:pt idx="7">
                        <c:v>29.754601226993866</c:v>
                      </c:pt>
                      <c:pt idx="8">
                        <c:v>26.944971537001898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35E-4FFC-BBE3-399C69638DA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fxet80_auto'!$A$9:$B$9</c15:sqref>
                        </c15:formulaRef>
                      </c:ext>
                    </c:extLst>
                    <c:strCache>
                      <c:ptCount val="2"/>
                      <c:pt idx="0">
                        <c:v>Neglig./aband.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fxet80_auto'!$C$9:$K$9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50.867052023121381</c:v>
                      </c:pt>
                      <c:pt idx="1">
                        <c:v>14.928801102434544</c:v>
                      </c:pt>
                      <c:pt idx="2">
                        <c:v>5.593220338983051</c:v>
                      </c:pt>
                      <c:pt idx="3">
                        <c:v>5.4624456859093726</c:v>
                      </c:pt>
                      <c:pt idx="4">
                        <c:v>8.2089552238805972</c:v>
                      </c:pt>
                      <c:pt idx="5">
                        <c:v>21.558164354322304</c:v>
                      </c:pt>
                      <c:pt idx="6">
                        <c:v>42.45398773006135</c:v>
                      </c:pt>
                      <c:pt idx="7">
                        <c:v>56.595092024539873</c:v>
                      </c:pt>
                      <c:pt idx="8">
                        <c:v>70.777988614800762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35E-4FFC-BBE3-399C69638DA1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fxet80_auto'!$A$11:$B$11</c15:sqref>
                        </c15:formulaRef>
                      </c:ext>
                    </c:extLst>
                    <c:strCache>
                      <c:ptCount val="2"/>
                      <c:pt idx="0">
                        <c:v>Outros2</c:v>
                      </c:pt>
                      <c:pt idx="1">
                        <c:v>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fxet80_auto'!$C$3:$K$3</c15:sqref>
                        </c15:formulaRef>
                      </c:ext>
                    </c:extLst>
                    <c:strCache>
                      <c:ptCount val="9"/>
                      <c:pt idx="0">
                        <c:v>0 a 9</c:v>
                      </c:pt>
                      <c:pt idx="1">
                        <c:v>10 a 19</c:v>
                      </c:pt>
                      <c:pt idx="2">
                        <c:v>20 a 29</c:v>
                      </c:pt>
                      <c:pt idx="3">
                        <c:v>30 a 39</c:v>
                      </c:pt>
                      <c:pt idx="4">
                        <c:v>40 a 49</c:v>
                      </c:pt>
                      <c:pt idx="5">
                        <c:v>50 a 59</c:v>
                      </c:pt>
                      <c:pt idx="6">
                        <c:v>60 a 69</c:v>
                      </c:pt>
                      <c:pt idx="7">
                        <c:v>70 a 79</c:v>
                      </c:pt>
                      <c:pt idx="8">
                        <c:v>80 ou 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't_violência x fxet80_auto'!$C$11:$K$11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5.6358381502890174</c:v>
                      </c:pt>
                      <c:pt idx="1">
                        <c:v>21.773082223242994</c:v>
                      </c:pt>
                      <c:pt idx="2">
                        <c:v>25.36723163841808</c:v>
                      </c:pt>
                      <c:pt idx="3">
                        <c:v>26.319056486654251</c:v>
                      </c:pt>
                      <c:pt idx="4">
                        <c:v>25.671641791044774</c:v>
                      </c:pt>
                      <c:pt idx="5">
                        <c:v>19.743863393810031</c:v>
                      </c:pt>
                      <c:pt idx="6">
                        <c:v>11.779141104294478</c:v>
                      </c:pt>
                      <c:pt idx="7">
                        <c:v>8.4355828220858893</c:v>
                      </c:pt>
                      <c:pt idx="8">
                        <c:v>7.2106261859582546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35E-4FFC-BBE3-399C69638DA1}"/>
                  </c:ext>
                </c:extLst>
              </c15:ser>
            </c15:filteredBarSeries>
          </c:ext>
        </c:extLst>
      </c:barChart>
      <c:catAx>
        <c:axId val="5417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61952"/>
        <c:crosses val="autoZero"/>
        <c:auto val="1"/>
        <c:lblAlgn val="ctr"/>
        <c:lblOffset val="100"/>
        <c:noMultiLvlLbl val="0"/>
      </c:catAx>
      <c:valAx>
        <c:axId val="54176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175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4</xdr:row>
      <xdr:rowOff>128586</xdr:rowOff>
    </xdr:from>
    <xdr:to>
      <xdr:col>19</xdr:col>
      <xdr:colOff>123825</xdr:colOff>
      <xdr:row>22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113739</xdr:colOff>
      <xdr:row>4</xdr:row>
      <xdr:rowOff>139792</xdr:rowOff>
    </xdr:from>
    <xdr:to>
      <xdr:col>19</xdr:col>
      <xdr:colOff>56589</xdr:colOff>
      <xdr:row>22</xdr:row>
      <xdr:rowOff>58831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437030</xdr:colOff>
      <xdr:row>5</xdr:row>
      <xdr:rowOff>180415</xdr:rowOff>
    </xdr:from>
    <xdr:to>
      <xdr:col>19</xdr:col>
      <xdr:colOff>235324</xdr:colOff>
      <xdr:row>22</xdr:row>
      <xdr:rowOff>123265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5</xdr:row>
      <xdr:rowOff>4762</xdr:rowOff>
    </xdr:from>
    <xdr:to>
      <xdr:col>13</xdr:col>
      <xdr:colOff>180975</xdr:colOff>
      <xdr:row>19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268941</xdr:colOff>
      <xdr:row>6</xdr:row>
      <xdr:rowOff>29137</xdr:rowOff>
    </xdr:from>
    <xdr:to>
      <xdr:col>11</xdr:col>
      <xdr:colOff>896471</xdr:colOff>
      <xdr:row>22</xdr:row>
      <xdr:rowOff>82925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5</xdr:row>
      <xdr:rowOff>128587</xdr:rowOff>
    </xdr:from>
    <xdr:to>
      <xdr:col>20</xdr:col>
      <xdr:colOff>19050</xdr:colOff>
      <xdr:row>20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586627</xdr:colOff>
      <xdr:row>3</xdr:row>
      <xdr:rowOff>152960</xdr:rowOff>
    </xdr:from>
    <xdr:to>
      <xdr:col>21</xdr:col>
      <xdr:colOff>104775</xdr:colOff>
      <xdr:row>18</xdr:row>
      <xdr:rowOff>175932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210910</xdr:colOff>
      <xdr:row>6</xdr:row>
      <xdr:rowOff>153080</xdr:rowOff>
    </xdr:from>
    <xdr:to>
      <xdr:col>18</xdr:col>
      <xdr:colOff>239485</xdr:colOff>
      <xdr:row>23</xdr:row>
      <xdr:rowOff>129268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133351</xdr:colOff>
      <xdr:row>30</xdr:row>
      <xdr:rowOff>19049</xdr:rowOff>
    </xdr:from>
    <xdr:to>
      <xdr:col>18</xdr:col>
      <xdr:colOff>257175</xdr:colOff>
      <xdr:row>49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342900</xdr:colOff>
      <xdr:row>57</xdr:row>
      <xdr:rowOff>57150</xdr:rowOff>
    </xdr:from>
    <xdr:to>
      <xdr:col>18</xdr:col>
      <xdr:colOff>466724</xdr:colOff>
      <xdr:row>76</xdr:row>
      <xdr:rowOff>180976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192181</xdr:colOff>
      <xdr:row>8</xdr:row>
      <xdr:rowOff>36419</xdr:rowOff>
    </xdr:from>
    <xdr:to>
      <xdr:col>16</xdr:col>
      <xdr:colOff>492498</xdr:colOff>
      <xdr:row>22</xdr:row>
      <xdr:rowOff>84044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7</xdr:row>
      <xdr:rowOff>0</xdr:rowOff>
    </xdr:from>
    <xdr:to>
      <xdr:col>20</xdr:col>
      <xdr:colOff>263979</xdr:colOff>
      <xdr:row>20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6</xdr:row>
      <xdr:rowOff>28575</xdr:rowOff>
    </xdr:from>
    <xdr:to>
      <xdr:col>19</xdr:col>
      <xdr:colOff>371475</xdr:colOff>
      <xdr:row>20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2801</xdr:colOff>
      <xdr:row>6</xdr:row>
      <xdr:rowOff>41461</xdr:rowOff>
    </xdr:from>
    <xdr:to>
      <xdr:col>15</xdr:col>
      <xdr:colOff>461619</xdr:colOff>
      <xdr:row>20</xdr:row>
      <xdr:rowOff>117661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3</xdr:row>
      <xdr:rowOff>133350</xdr:rowOff>
    </xdr:from>
    <xdr:to>
      <xdr:col>18</xdr:col>
      <xdr:colOff>265339</xdr:colOff>
      <xdr:row>20</xdr:row>
      <xdr:rowOff>109538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371475</xdr:colOff>
      <xdr:row>6</xdr:row>
      <xdr:rowOff>161925</xdr:rowOff>
    </xdr:from>
    <xdr:to>
      <xdr:col>20</xdr:col>
      <xdr:colOff>66675</xdr:colOff>
      <xdr:row>21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574675</xdr:colOff>
      <xdr:row>6</xdr:row>
      <xdr:rowOff>33337</xdr:rowOff>
    </xdr:from>
    <xdr:to>
      <xdr:col>17</xdr:col>
      <xdr:colOff>265641</xdr:colOff>
      <xdr:row>20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8</xdr:row>
      <xdr:rowOff>90487</xdr:rowOff>
    </xdr:from>
    <xdr:to>
      <xdr:col>15</xdr:col>
      <xdr:colOff>457200</xdr:colOff>
      <xdr:row>22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371475</xdr:colOff>
      <xdr:row>7</xdr:row>
      <xdr:rowOff>109537</xdr:rowOff>
    </xdr:from>
    <xdr:to>
      <xdr:col>20</xdr:col>
      <xdr:colOff>66675</xdr:colOff>
      <xdr:row>21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B4" sqref="B4"/>
    </sheetView>
  </sheetViews>
  <sheetFormatPr defaultRowHeight="15" x14ac:dyDescent="0.25"/>
  <cols>
    <col min="2" max="2" width="11.5703125" bestFit="1" customWidth="1"/>
    <col min="4" max="4" width="9.85546875" customWidth="1"/>
    <col min="7" max="7" width="12" bestFit="1" customWidth="1"/>
    <col min="10" max="10" width="12" bestFit="1" customWidth="1"/>
  </cols>
  <sheetData>
    <row r="1" spans="1:11" x14ac:dyDescent="0.25">
      <c r="A1" s="3" t="s">
        <v>1</v>
      </c>
      <c r="B1" s="3" t="s">
        <v>0</v>
      </c>
      <c r="D1" s="3" t="s">
        <v>8</v>
      </c>
      <c r="E1" s="3" t="s">
        <v>0</v>
      </c>
      <c r="G1" s="3" t="s">
        <v>9</v>
      </c>
      <c r="H1" s="3" t="s">
        <v>0</v>
      </c>
      <c r="J1" s="3" t="s">
        <v>10</v>
      </c>
      <c r="K1" s="3" t="s">
        <v>0</v>
      </c>
    </row>
    <row r="2" spans="1:11" x14ac:dyDescent="0.25">
      <c r="A2" t="s">
        <v>3</v>
      </c>
      <c r="B2">
        <v>1.1000000000000001</v>
      </c>
      <c r="D2" t="s">
        <v>3</v>
      </c>
      <c r="E2">
        <v>1.3</v>
      </c>
      <c r="G2" t="s">
        <v>3</v>
      </c>
      <c r="H2">
        <v>0.5</v>
      </c>
      <c r="J2" t="s">
        <v>3</v>
      </c>
      <c r="K2">
        <v>3.6</v>
      </c>
    </row>
    <row r="3" spans="1:11" x14ac:dyDescent="0.25">
      <c r="A3" t="s">
        <v>4</v>
      </c>
      <c r="B3" s="1">
        <v>207853</v>
      </c>
      <c r="D3" t="s">
        <v>4</v>
      </c>
      <c r="E3" s="1">
        <f>B3</f>
        <v>207853</v>
      </c>
      <c r="G3" t="s">
        <v>4</v>
      </c>
      <c r="H3" s="1">
        <f>B3</f>
        <v>207853</v>
      </c>
      <c r="J3" t="s">
        <v>4</v>
      </c>
      <c r="K3" s="1">
        <f>B3</f>
        <v>207853</v>
      </c>
    </row>
    <row r="4" spans="1:11" x14ac:dyDescent="0.25">
      <c r="A4" t="s">
        <v>5</v>
      </c>
      <c r="B4">
        <v>970</v>
      </c>
      <c r="D4" t="s">
        <v>5</v>
      </c>
      <c r="E4">
        <v>3366</v>
      </c>
      <c r="G4" t="s">
        <v>5</v>
      </c>
      <c r="H4">
        <v>5432</v>
      </c>
      <c r="J4" t="s">
        <v>5</v>
      </c>
      <c r="K4">
        <v>1178</v>
      </c>
    </row>
    <row r="5" spans="1:11" x14ac:dyDescent="0.25">
      <c r="A5" t="s">
        <v>2</v>
      </c>
      <c r="B5" s="2">
        <f>(B4)/(B3*(B2/100))*10</f>
        <v>4.2425088010189018</v>
      </c>
      <c r="D5" t="s">
        <v>2</v>
      </c>
      <c r="E5" s="2">
        <f>(E4)/(E3*(E2/100))*10</f>
        <v>12.45702861748817</v>
      </c>
      <c r="G5" t="s">
        <v>2</v>
      </c>
      <c r="H5" s="2">
        <f>(H4)/(H3*(H2/100))*10</f>
        <v>52.267708428552872</v>
      </c>
      <c r="J5" t="s">
        <v>2</v>
      </c>
      <c r="K5" s="2">
        <f>(K4)/(K3*(K2/100))*10</f>
        <v>1.5742963643643451</v>
      </c>
    </row>
    <row r="7" spans="1:11" x14ac:dyDescent="0.25">
      <c r="A7" s="3" t="s">
        <v>1</v>
      </c>
      <c r="B7" s="3" t="s">
        <v>6</v>
      </c>
      <c r="D7" s="3" t="s">
        <v>8</v>
      </c>
      <c r="E7" s="3" t="s">
        <v>6</v>
      </c>
      <c r="G7" s="3" t="s">
        <v>9</v>
      </c>
      <c r="H7" s="3" t="s">
        <v>6</v>
      </c>
      <c r="J7" s="3" t="s">
        <v>10</v>
      </c>
      <c r="K7" s="3" t="s">
        <v>6</v>
      </c>
    </row>
    <row r="8" spans="1:11" x14ac:dyDescent="0.25">
      <c r="A8" t="s">
        <v>3</v>
      </c>
      <c r="B8">
        <v>1.2</v>
      </c>
      <c r="D8" t="s">
        <v>3</v>
      </c>
      <c r="E8">
        <v>1.6</v>
      </c>
      <c r="G8" t="s">
        <v>3</v>
      </c>
      <c r="H8">
        <v>0.6</v>
      </c>
      <c r="J8" t="s">
        <v>3</v>
      </c>
      <c r="K8">
        <v>3.3</v>
      </c>
    </row>
    <row r="9" spans="1:11" x14ac:dyDescent="0.25">
      <c r="A9" t="s">
        <v>4</v>
      </c>
      <c r="B9" s="1">
        <v>100333</v>
      </c>
      <c r="D9" t="s">
        <v>4</v>
      </c>
      <c r="E9" s="1">
        <f>B9</f>
        <v>100333</v>
      </c>
      <c r="G9" t="s">
        <v>4</v>
      </c>
      <c r="H9" s="1">
        <f>B9</f>
        <v>100333</v>
      </c>
      <c r="J9" t="s">
        <v>4</v>
      </c>
      <c r="K9" s="1">
        <f>B9</f>
        <v>100333</v>
      </c>
    </row>
    <row r="10" spans="1:11" x14ac:dyDescent="0.25">
      <c r="A10" t="s">
        <v>5</v>
      </c>
      <c r="B10">
        <v>353</v>
      </c>
      <c r="D10" t="s">
        <v>5</v>
      </c>
      <c r="E10">
        <v>1370</v>
      </c>
      <c r="G10" t="s">
        <v>5</v>
      </c>
      <c r="H10">
        <v>1928</v>
      </c>
      <c r="J10" t="s">
        <v>5</v>
      </c>
      <c r="K10">
        <v>417</v>
      </c>
    </row>
    <row r="11" spans="1:11" x14ac:dyDescent="0.25">
      <c r="A11" t="s">
        <v>2</v>
      </c>
      <c r="B11" s="2">
        <f>(B10)/(B9*(B8/100))*10</f>
        <v>2.9319034282505916</v>
      </c>
      <c r="D11" t="s">
        <v>2</v>
      </c>
      <c r="E11" s="2">
        <f>(E10)/(E9*(E8/100))*10</f>
        <v>8.5340815085764419</v>
      </c>
      <c r="G11" t="s">
        <v>2</v>
      </c>
      <c r="H11" s="2">
        <f>(H10)/(H9*(H8/100))*10</f>
        <v>32.026684474034795</v>
      </c>
      <c r="J11" t="s">
        <v>2</v>
      </c>
      <c r="K11" s="2">
        <f>(K10)/(K9*(K8/100))*10</f>
        <v>1.2594424203765098</v>
      </c>
    </row>
    <row r="13" spans="1:11" x14ac:dyDescent="0.25">
      <c r="A13" s="3" t="s">
        <v>1</v>
      </c>
      <c r="B13" s="3" t="s">
        <v>7</v>
      </c>
      <c r="D13" s="3" t="s">
        <v>8</v>
      </c>
      <c r="E13" s="3" t="s">
        <v>7</v>
      </c>
      <c r="G13" s="3" t="s">
        <v>9</v>
      </c>
      <c r="H13" s="3" t="s">
        <v>7</v>
      </c>
      <c r="J13" s="3" t="s">
        <v>10</v>
      </c>
      <c r="K13" s="3" t="s">
        <v>7</v>
      </c>
    </row>
    <row r="14" spans="1:11" x14ac:dyDescent="0.25">
      <c r="A14" t="s">
        <v>3</v>
      </c>
      <c r="B14">
        <v>1</v>
      </c>
      <c r="D14" t="s">
        <v>3</v>
      </c>
      <c r="E14">
        <v>1</v>
      </c>
      <c r="G14" t="s">
        <v>3</v>
      </c>
      <c r="H14">
        <v>0.4</v>
      </c>
      <c r="J14" t="s">
        <v>3</v>
      </c>
      <c r="K14">
        <v>3.9</v>
      </c>
    </row>
    <row r="15" spans="1:11" x14ac:dyDescent="0.25">
      <c r="A15" t="s">
        <v>4</v>
      </c>
      <c r="B15" s="1">
        <v>108423</v>
      </c>
      <c r="D15" t="s">
        <v>4</v>
      </c>
      <c r="E15" s="1">
        <f>B15</f>
        <v>108423</v>
      </c>
      <c r="G15" t="s">
        <v>4</v>
      </c>
      <c r="H15" s="1">
        <f>B15</f>
        <v>108423</v>
      </c>
      <c r="J15" t="s">
        <v>4</v>
      </c>
      <c r="K15" s="1">
        <f>B15</f>
        <v>108423</v>
      </c>
    </row>
    <row r="16" spans="1:11" x14ac:dyDescent="0.25">
      <c r="A16" t="s">
        <v>5</v>
      </c>
      <c r="B16">
        <v>617</v>
      </c>
      <c r="D16" t="s">
        <v>5</v>
      </c>
      <c r="E16">
        <v>1995</v>
      </c>
      <c r="G16" t="s">
        <v>5</v>
      </c>
      <c r="H16">
        <v>3503</v>
      </c>
      <c r="J16" t="s">
        <v>5</v>
      </c>
      <c r="K16">
        <v>761</v>
      </c>
    </row>
    <row r="17" spans="1:11" x14ac:dyDescent="0.25">
      <c r="A17" t="s">
        <v>2</v>
      </c>
      <c r="B17" s="2">
        <f>(B16)/(B15*(B14/100))*10</f>
        <v>5.6906744878854116</v>
      </c>
      <c r="D17" t="s">
        <v>2</v>
      </c>
      <c r="E17" s="2">
        <f>(E16)/(E15*(E14/100))*10</f>
        <v>18.400154948673251</v>
      </c>
      <c r="G17" t="s">
        <v>2</v>
      </c>
      <c r="H17" s="2">
        <f>(H16)/(H15*(H14/100))*10</f>
        <v>80.771607500253637</v>
      </c>
      <c r="J17" t="s">
        <v>2</v>
      </c>
      <c r="K17" s="2">
        <f>(K16)/(K15*(K14/100))*10</f>
        <v>1.7996938392057507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"/>
  <sheetViews>
    <sheetView workbookViewId="0">
      <selection activeCell="H17" sqref="H17"/>
    </sheetView>
  </sheetViews>
  <sheetFormatPr defaultRowHeight="15" x14ac:dyDescent="0.25"/>
  <cols>
    <col min="1" max="1" width="10" customWidth="1"/>
    <col min="7" max="7" width="12" bestFit="1" customWidth="1"/>
    <col min="14" max="14" width="18.42578125" customWidth="1"/>
    <col min="15" max="15" width="9.7109375" bestFit="1" customWidth="1"/>
    <col min="16" max="16" width="17.140625" customWidth="1"/>
    <col min="17" max="17" width="10.140625" bestFit="1" customWidth="1"/>
  </cols>
  <sheetData>
    <row r="1" spans="1:23" x14ac:dyDescent="0.25">
      <c r="A1" s="3" t="s">
        <v>1</v>
      </c>
      <c r="B1" s="3" t="s">
        <v>0</v>
      </c>
      <c r="D1" s="3" t="s">
        <v>8</v>
      </c>
      <c r="E1" s="3" t="s">
        <v>0</v>
      </c>
      <c r="G1" s="3" t="s">
        <v>9</v>
      </c>
      <c r="H1" s="3" t="s">
        <v>0</v>
      </c>
      <c r="J1" s="3" t="s">
        <v>10</v>
      </c>
      <c r="K1" s="3" t="s">
        <v>0</v>
      </c>
      <c r="N1" s="29" t="s">
        <v>59</v>
      </c>
      <c r="O1" t="s">
        <v>12</v>
      </c>
      <c r="P1" t="s">
        <v>13</v>
      </c>
      <c r="Q1" t="s">
        <v>11</v>
      </c>
    </row>
    <row r="2" spans="1:23" x14ac:dyDescent="0.25">
      <c r="A2" t="s">
        <v>3</v>
      </c>
      <c r="B2">
        <v>1.1000000000000001</v>
      </c>
      <c r="D2" t="s">
        <v>3</v>
      </c>
      <c r="E2">
        <v>1.3</v>
      </c>
      <c r="G2" t="s">
        <v>3</v>
      </c>
      <c r="H2">
        <v>0.5</v>
      </c>
      <c r="J2" t="s">
        <v>3</v>
      </c>
      <c r="K2">
        <v>3.6</v>
      </c>
      <c r="M2" t="s">
        <v>7</v>
      </c>
      <c r="N2" s="2">
        <f>H17</f>
        <v>88.42680980972672</v>
      </c>
      <c r="O2" s="2">
        <f>E17</f>
        <v>20.586038017763755</v>
      </c>
      <c r="P2" s="2">
        <f>B17</f>
        <v>6.1333849828910836</v>
      </c>
      <c r="Q2" s="2">
        <f>K17</f>
        <v>1.9084795377648369</v>
      </c>
    </row>
    <row r="3" spans="1:23" x14ac:dyDescent="0.25">
      <c r="A3" t="s">
        <v>4</v>
      </c>
      <c r="B3" s="1">
        <v>209496</v>
      </c>
      <c r="D3" t="s">
        <v>4</v>
      </c>
      <c r="E3" s="1">
        <f>B3</f>
        <v>209496</v>
      </c>
      <c r="G3" t="s">
        <v>4</v>
      </c>
      <c r="H3" s="1">
        <f>B3</f>
        <v>209496</v>
      </c>
      <c r="J3" t="s">
        <v>4</v>
      </c>
      <c r="K3" s="1">
        <f>B3</f>
        <v>209496</v>
      </c>
      <c r="M3" t="s">
        <v>6</v>
      </c>
      <c r="N3" s="2">
        <f>H11</f>
        <v>34.19936548139647</v>
      </c>
      <c r="O3" s="2">
        <f>E11</f>
        <v>8.8734491560638737</v>
      </c>
      <c r="P3" s="2">
        <f>B11</f>
        <v>2.9104088753454564</v>
      </c>
      <c r="Q3" s="2">
        <f>K11</f>
        <v>1.5230365270929611</v>
      </c>
    </row>
    <row r="4" spans="1:23" x14ac:dyDescent="0.25">
      <c r="A4" t="s">
        <v>5</v>
      </c>
      <c r="B4">
        <v>1018</v>
      </c>
      <c r="D4" t="s">
        <v>5</v>
      </c>
      <c r="E4">
        <v>3667</v>
      </c>
      <c r="G4" t="s">
        <v>5</v>
      </c>
      <c r="H4">
        <v>5909</v>
      </c>
      <c r="J4" t="s">
        <v>5</v>
      </c>
      <c r="K4">
        <v>1315</v>
      </c>
      <c r="M4" t="s">
        <v>0</v>
      </c>
      <c r="N4" s="2">
        <f>H5</f>
        <v>56.411578264024129</v>
      </c>
      <c r="O4" s="2">
        <f>E5</f>
        <v>13.464549350676053</v>
      </c>
      <c r="P4" s="2">
        <f>B5</f>
        <v>4.4175284752670478</v>
      </c>
      <c r="Q4" s="2">
        <f>K5</f>
        <v>1.7436026357437742</v>
      </c>
    </row>
    <row r="5" spans="1:23" x14ac:dyDescent="0.25">
      <c r="A5" t="s">
        <v>2</v>
      </c>
      <c r="B5" s="2">
        <f>(B4)/(B3*(B2/100))*10</f>
        <v>4.4175284752670478</v>
      </c>
      <c r="D5" t="s">
        <v>2</v>
      </c>
      <c r="E5" s="2">
        <f>(E4)/(E3*(E2/100))*10</f>
        <v>13.464549350676053</v>
      </c>
      <c r="G5" t="s">
        <v>2</v>
      </c>
      <c r="H5" s="2">
        <f>(H4)/(H3*(H2/100))*10</f>
        <v>56.411578264024129</v>
      </c>
      <c r="J5" t="s">
        <v>2</v>
      </c>
      <c r="K5" s="2">
        <f>(K4)/(K3*(K2/100))*10</f>
        <v>1.7436026357437742</v>
      </c>
    </row>
    <row r="7" spans="1:23" x14ac:dyDescent="0.25">
      <c r="A7" s="3" t="s">
        <v>1</v>
      </c>
      <c r="B7" s="3" t="s">
        <v>6</v>
      </c>
      <c r="D7" s="3" t="s">
        <v>8</v>
      </c>
      <c r="E7" s="3" t="s">
        <v>6</v>
      </c>
      <c r="G7" s="3" t="s">
        <v>9</v>
      </c>
      <c r="H7" s="3" t="s">
        <v>6</v>
      </c>
      <c r="J7" s="3" t="s">
        <v>10</v>
      </c>
      <c r="K7" s="3" t="s">
        <v>6</v>
      </c>
    </row>
    <row r="8" spans="1:23" x14ac:dyDescent="0.25">
      <c r="A8" t="s">
        <v>3</v>
      </c>
      <c r="B8">
        <v>1.2</v>
      </c>
      <c r="D8" t="s">
        <v>3</v>
      </c>
      <c r="E8">
        <v>1.6</v>
      </c>
      <c r="G8" t="s">
        <v>3</v>
      </c>
      <c r="H8">
        <v>0.6</v>
      </c>
      <c r="J8" t="s">
        <v>3</v>
      </c>
      <c r="K8">
        <v>3.3</v>
      </c>
    </row>
    <row r="9" spans="1:23" x14ac:dyDescent="0.25">
      <c r="A9" t="s">
        <v>4</v>
      </c>
      <c r="B9" s="1">
        <v>101074</v>
      </c>
      <c r="D9" t="s">
        <v>4</v>
      </c>
      <c r="E9" s="1">
        <f>B9</f>
        <v>101074</v>
      </c>
      <c r="G9" t="s">
        <v>4</v>
      </c>
      <c r="H9" s="1">
        <f>B9</f>
        <v>101074</v>
      </c>
      <c r="J9" t="s">
        <v>4</v>
      </c>
      <c r="K9" s="1">
        <f>B9</f>
        <v>101074</v>
      </c>
      <c r="U9" s="29" t="s">
        <v>60</v>
      </c>
      <c r="V9" s="29"/>
      <c r="W9" s="29"/>
    </row>
    <row r="10" spans="1:23" x14ac:dyDescent="0.25">
      <c r="A10" t="s">
        <v>5</v>
      </c>
      <c r="B10">
        <v>353</v>
      </c>
      <c r="D10" t="s">
        <v>5</v>
      </c>
      <c r="E10">
        <v>1435</v>
      </c>
      <c r="G10" t="s">
        <v>5</v>
      </c>
      <c r="H10">
        <v>2074</v>
      </c>
      <c r="J10" t="s">
        <v>5</v>
      </c>
      <c r="K10">
        <v>508</v>
      </c>
    </row>
    <row r="11" spans="1:23" x14ac:dyDescent="0.25">
      <c r="A11" t="s">
        <v>2</v>
      </c>
      <c r="B11" s="2">
        <f>(B10)/(B9*(B8/100))*10</f>
        <v>2.9104088753454564</v>
      </c>
      <c r="D11" t="s">
        <v>2</v>
      </c>
      <c r="E11" s="2">
        <f>(E10)/(E9*(E8/100))*10</f>
        <v>8.8734491560638737</v>
      </c>
      <c r="G11" t="s">
        <v>2</v>
      </c>
      <c r="H11" s="2">
        <f>(H10)/(H9*(H8/100))*10</f>
        <v>34.19936548139647</v>
      </c>
      <c r="J11" t="s">
        <v>2</v>
      </c>
      <c r="K11" s="2">
        <f>(K10)/(K9*(K8/100))*10</f>
        <v>1.5230365270929611</v>
      </c>
    </row>
    <row r="13" spans="1:23" x14ac:dyDescent="0.25">
      <c r="A13" s="3" t="s">
        <v>1</v>
      </c>
      <c r="B13" s="3" t="s">
        <v>7</v>
      </c>
      <c r="D13" s="3" t="s">
        <v>8</v>
      </c>
      <c r="E13" s="3" t="s">
        <v>7</v>
      </c>
      <c r="G13" s="3" t="s">
        <v>9</v>
      </c>
      <c r="H13" s="3" t="s">
        <v>7</v>
      </c>
      <c r="J13" s="3" t="s">
        <v>10</v>
      </c>
      <c r="K13" s="3" t="s">
        <v>7</v>
      </c>
    </row>
    <row r="14" spans="1:23" x14ac:dyDescent="0.25">
      <c r="A14" t="s">
        <v>3</v>
      </c>
      <c r="B14">
        <v>1</v>
      </c>
      <c r="D14" t="s">
        <v>3</v>
      </c>
      <c r="E14">
        <v>1</v>
      </c>
      <c r="G14" t="s">
        <v>3</v>
      </c>
      <c r="H14">
        <v>0.4</v>
      </c>
      <c r="J14" t="s">
        <v>3</v>
      </c>
      <c r="K14">
        <v>3.9</v>
      </c>
    </row>
    <row r="15" spans="1:23" x14ac:dyDescent="0.25">
      <c r="A15" t="s">
        <v>4</v>
      </c>
      <c r="B15" s="1">
        <v>108423</v>
      </c>
      <c r="D15" t="s">
        <v>4</v>
      </c>
      <c r="E15" s="1">
        <f>B15</f>
        <v>108423</v>
      </c>
      <c r="G15" t="s">
        <v>4</v>
      </c>
      <c r="H15" s="1">
        <f>B15</f>
        <v>108423</v>
      </c>
      <c r="J15" t="s">
        <v>4</v>
      </c>
      <c r="K15" s="1">
        <f>B15</f>
        <v>108423</v>
      </c>
    </row>
    <row r="16" spans="1:23" x14ac:dyDescent="0.25">
      <c r="A16" t="s">
        <v>5</v>
      </c>
      <c r="B16">
        <v>665</v>
      </c>
      <c r="D16" t="s">
        <v>5</v>
      </c>
      <c r="E16">
        <v>2232</v>
      </c>
      <c r="G16" t="s">
        <v>5</v>
      </c>
      <c r="H16">
        <v>3835</v>
      </c>
      <c r="J16" t="s">
        <v>5</v>
      </c>
      <c r="K16">
        <v>807</v>
      </c>
    </row>
    <row r="17" spans="1:11" x14ac:dyDescent="0.25">
      <c r="A17" t="s">
        <v>2</v>
      </c>
      <c r="B17" s="2">
        <f>(B16)/(B15*(B14/100))*10</f>
        <v>6.1333849828910836</v>
      </c>
      <c r="D17" t="s">
        <v>2</v>
      </c>
      <c r="E17" s="2">
        <f>(E16)/(E15*(E14/100))*10</f>
        <v>20.586038017763755</v>
      </c>
      <c r="G17" t="s">
        <v>2</v>
      </c>
      <c r="H17" s="2">
        <f>(H16)/(H15*(H14/100))*10</f>
        <v>88.42680980972672</v>
      </c>
      <c r="J17" t="s">
        <v>2</v>
      </c>
      <c r="K17" s="2">
        <f>(K16)/(K15*(K14/100))*10</f>
        <v>1.9084795377648369</v>
      </c>
    </row>
    <row r="20" spans="1:11" x14ac:dyDescent="0.25">
      <c r="A20" t="s">
        <v>80</v>
      </c>
      <c r="B20">
        <v>10540</v>
      </c>
      <c r="E20" s="76" t="s">
        <v>83</v>
      </c>
      <c r="F20" s="76"/>
      <c r="G20" s="76"/>
      <c r="H20" s="76"/>
      <c r="I20" s="76"/>
    </row>
    <row r="21" spans="1:11" x14ac:dyDescent="0.25">
      <c r="A21" t="s">
        <v>81</v>
      </c>
      <c r="B21">
        <v>3850</v>
      </c>
      <c r="E21" s="76"/>
      <c r="F21" s="76"/>
      <c r="G21" s="76"/>
      <c r="H21" s="76"/>
      <c r="I21" s="76"/>
    </row>
    <row r="22" spans="1:11" x14ac:dyDescent="0.25">
      <c r="A22" t="s">
        <v>82</v>
      </c>
      <c r="B22">
        <v>6690</v>
      </c>
      <c r="E22" s="76"/>
      <c r="F22" s="76"/>
      <c r="G22" s="76"/>
      <c r="H22" s="76"/>
      <c r="I22" s="76"/>
    </row>
  </sheetData>
  <mergeCells count="1">
    <mergeCell ref="E20:I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zoomScale="85" zoomScaleNormal="85" workbookViewId="0">
      <selection activeCell="M1" sqref="M1:Q4"/>
    </sheetView>
  </sheetViews>
  <sheetFormatPr defaultRowHeight="15" x14ac:dyDescent="0.25"/>
  <cols>
    <col min="1" max="1" width="21.42578125" bestFit="1" customWidth="1"/>
    <col min="2" max="2" width="12.5703125" bestFit="1" customWidth="1"/>
    <col min="5" max="5" width="10.5703125" bestFit="1" customWidth="1"/>
    <col min="7" max="7" width="12" bestFit="1" customWidth="1"/>
    <col min="8" max="8" width="9.5703125" bestFit="1" customWidth="1"/>
    <col min="14" max="14" width="18.42578125" customWidth="1"/>
    <col min="15" max="15" width="9.7109375" bestFit="1" customWidth="1"/>
    <col min="16" max="16" width="17.140625" customWidth="1"/>
    <col min="17" max="17" width="10.140625" bestFit="1" customWidth="1"/>
  </cols>
  <sheetData>
    <row r="1" spans="1:17" x14ac:dyDescent="0.25">
      <c r="A1" s="3" t="s">
        <v>1</v>
      </c>
      <c r="B1" s="3" t="s">
        <v>0</v>
      </c>
      <c r="D1" s="3" t="s">
        <v>8</v>
      </c>
      <c r="E1" s="3" t="s">
        <v>0</v>
      </c>
      <c r="G1" s="3" t="s">
        <v>9</v>
      </c>
      <c r="H1" s="3" t="s">
        <v>0</v>
      </c>
      <c r="J1" s="3" t="s">
        <v>10</v>
      </c>
      <c r="K1" s="3" t="s">
        <v>0</v>
      </c>
      <c r="M1" s="15"/>
      <c r="N1" s="15" t="s">
        <v>59</v>
      </c>
      <c r="O1" s="15" t="s">
        <v>12</v>
      </c>
      <c r="P1" s="15" t="s">
        <v>13</v>
      </c>
      <c r="Q1" s="15" t="s">
        <v>11</v>
      </c>
    </row>
    <row r="2" spans="1:17" x14ac:dyDescent="0.25">
      <c r="A2" t="s">
        <v>3</v>
      </c>
      <c r="B2">
        <v>1.1000000000000001</v>
      </c>
      <c r="D2" t="s">
        <v>3</v>
      </c>
      <c r="E2">
        <v>1.3</v>
      </c>
      <c r="G2" t="s">
        <v>3</v>
      </c>
      <c r="H2">
        <v>0.5</v>
      </c>
      <c r="J2" t="s">
        <v>3</v>
      </c>
      <c r="K2">
        <v>3.6</v>
      </c>
      <c r="M2" s="15" t="s">
        <v>7</v>
      </c>
      <c r="N2" s="82">
        <f>H17</f>
        <v>75.48478966749505</v>
      </c>
      <c r="O2" s="82">
        <f>E17</f>
        <v>24.86077602626662</v>
      </c>
      <c r="P2" s="82">
        <f>B17</f>
        <v>7.4555118181653279</v>
      </c>
      <c r="Q2" s="82">
        <f>K17</f>
        <v>2.19074556513561</v>
      </c>
    </row>
    <row r="3" spans="1:17" x14ac:dyDescent="0.25">
      <c r="A3" t="s">
        <v>4</v>
      </c>
      <c r="B3" s="1">
        <v>215602</v>
      </c>
      <c r="D3" t="s">
        <v>4</v>
      </c>
      <c r="E3" s="1">
        <f>B3</f>
        <v>215602</v>
      </c>
      <c r="G3" t="s">
        <v>4</v>
      </c>
      <c r="H3" s="1">
        <f>B3</f>
        <v>215602</v>
      </c>
      <c r="J3" t="s">
        <v>4</v>
      </c>
      <c r="K3" s="1">
        <f>B3</f>
        <v>215602</v>
      </c>
      <c r="M3" s="15" t="s">
        <v>6</v>
      </c>
      <c r="N3" s="82">
        <f>H11</f>
        <v>28.920023794155245</v>
      </c>
      <c r="O3" s="82">
        <f>E11</f>
        <v>10.293266127501235</v>
      </c>
      <c r="P3" s="82">
        <f>B11</f>
        <v>3.2669501714951084</v>
      </c>
      <c r="Q3" s="82">
        <f>K11</f>
        <v>1.4900111722073219</v>
      </c>
    </row>
    <row r="4" spans="1:17" x14ac:dyDescent="0.25">
      <c r="A4" t="s">
        <v>5</v>
      </c>
      <c r="B4">
        <v>1235</v>
      </c>
      <c r="D4" t="s">
        <v>5</v>
      </c>
      <c r="E4">
        <v>4476</v>
      </c>
      <c r="G4" t="s">
        <v>5</v>
      </c>
      <c r="H4">
        <v>5157</v>
      </c>
      <c r="J4" t="s">
        <v>5</v>
      </c>
      <c r="K4">
        <v>1460</v>
      </c>
      <c r="M4" s="15" t="s">
        <v>0</v>
      </c>
      <c r="N4" s="82">
        <f>H5</f>
        <v>47.838146213857016</v>
      </c>
      <c r="O4" s="82">
        <f>E5</f>
        <v>15.969596400204651</v>
      </c>
      <c r="P4" s="82">
        <f>B5</f>
        <v>5.2074065765961013</v>
      </c>
      <c r="Q4" s="82">
        <f>K5</f>
        <v>1.8810380031518981</v>
      </c>
    </row>
    <row r="5" spans="1:17" x14ac:dyDescent="0.25">
      <c r="A5" t="s">
        <v>2</v>
      </c>
      <c r="B5" s="2">
        <f>(B4)/(B3*(B2/100))*10</f>
        <v>5.2074065765961013</v>
      </c>
      <c r="D5" t="s">
        <v>2</v>
      </c>
      <c r="E5" s="2">
        <f>(E4)/(E3*(E2/100))*10</f>
        <v>15.969596400204651</v>
      </c>
      <c r="G5" t="s">
        <v>2</v>
      </c>
      <c r="H5" s="2">
        <f>(H4)/(H3*(H2/100))*10</f>
        <v>47.838146213857016</v>
      </c>
      <c r="J5" t="s">
        <v>2</v>
      </c>
      <c r="K5" s="2">
        <f>(K4)/(K3*(K2/100))*10</f>
        <v>1.8810380031518981</v>
      </c>
    </row>
    <row r="7" spans="1:17" x14ac:dyDescent="0.25">
      <c r="A7" s="3" t="s">
        <v>1</v>
      </c>
      <c r="B7" s="3" t="s">
        <v>6</v>
      </c>
      <c r="D7" s="3" t="s">
        <v>8</v>
      </c>
      <c r="E7" s="3" t="s">
        <v>6</v>
      </c>
      <c r="G7" s="3" t="s">
        <v>9</v>
      </c>
      <c r="H7" s="3" t="s">
        <v>6</v>
      </c>
      <c r="J7" s="3" t="s">
        <v>10</v>
      </c>
      <c r="K7" s="3" t="s">
        <v>6</v>
      </c>
    </row>
    <row r="8" spans="1:17" x14ac:dyDescent="0.25">
      <c r="A8" t="s">
        <v>3</v>
      </c>
      <c r="B8">
        <v>1.2</v>
      </c>
      <c r="D8" t="s">
        <v>3</v>
      </c>
      <c r="E8">
        <v>1.6</v>
      </c>
      <c r="G8" t="s">
        <v>3</v>
      </c>
      <c r="H8">
        <v>0.6</v>
      </c>
      <c r="J8" t="s">
        <v>3</v>
      </c>
      <c r="K8">
        <v>3.3</v>
      </c>
    </row>
    <row r="9" spans="1:17" x14ac:dyDescent="0.25">
      <c r="A9" t="s">
        <v>4</v>
      </c>
      <c r="B9" s="1">
        <v>105348</v>
      </c>
      <c r="D9" t="s">
        <v>4</v>
      </c>
      <c r="E9" s="1">
        <f>B9</f>
        <v>105348</v>
      </c>
      <c r="G9" t="s">
        <v>4</v>
      </c>
      <c r="H9" s="1">
        <f>B9</f>
        <v>105348</v>
      </c>
      <c r="J9" t="s">
        <v>4</v>
      </c>
      <c r="K9" s="1">
        <f>B9</f>
        <v>105348</v>
      </c>
    </row>
    <row r="10" spans="1:17" x14ac:dyDescent="0.25">
      <c r="A10" t="s">
        <v>5</v>
      </c>
      <c r="B10">
        <v>413</v>
      </c>
      <c r="D10" t="s">
        <v>5</v>
      </c>
      <c r="E10">
        <v>1735</v>
      </c>
      <c r="G10" t="s">
        <v>5</v>
      </c>
      <c r="H10">
        <v>1828</v>
      </c>
      <c r="J10" t="s">
        <v>5</v>
      </c>
      <c r="K10">
        <v>518</v>
      </c>
    </row>
    <row r="11" spans="1:17" x14ac:dyDescent="0.25">
      <c r="A11" t="s">
        <v>2</v>
      </c>
      <c r="B11" s="2">
        <f>(B10)/(B9*(B8/100))*10</f>
        <v>3.2669501714951084</v>
      </c>
      <c r="D11" t="s">
        <v>2</v>
      </c>
      <c r="E11" s="2">
        <f>(E10)/(E9*(E8/100))*10</f>
        <v>10.293266127501235</v>
      </c>
      <c r="G11" t="s">
        <v>2</v>
      </c>
      <c r="H11" s="2">
        <f>(H10)/(H9*(H8/100))*10</f>
        <v>28.920023794155245</v>
      </c>
      <c r="J11" t="s">
        <v>2</v>
      </c>
      <c r="K11" s="2">
        <f>(K10)/(K9*(K8/100))*10</f>
        <v>1.4900111722073219</v>
      </c>
    </row>
    <row r="13" spans="1:17" x14ac:dyDescent="0.25">
      <c r="A13" s="3" t="s">
        <v>1</v>
      </c>
      <c r="B13" s="3" t="s">
        <v>7</v>
      </c>
      <c r="D13" s="3" t="s">
        <v>8</v>
      </c>
      <c r="E13" s="3" t="s">
        <v>7</v>
      </c>
      <c r="G13" s="3" t="s">
        <v>9</v>
      </c>
      <c r="H13" s="3" t="s">
        <v>7</v>
      </c>
      <c r="J13" s="3" t="s">
        <v>10</v>
      </c>
      <c r="K13" s="3" t="s">
        <v>7</v>
      </c>
    </row>
    <row r="14" spans="1:17" x14ac:dyDescent="0.25">
      <c r="A14" t="s">
        <v>3</v>
      </c>
      <c r="B14">
        <v>1</v>
      </c>
      <c r="D14" t="s">
        <v>3</v>
      </c>
      <c r="E14">
        <v>1</v>
      </c>
      <c r="G14" t="s">
        <v>3</v>
      </c>
      <c r="H14">
        <v>0.4</v>
      </c>
      <c r="J14" t="s">
        <v>3</v>
      </c>
      <c r="K14">
        <v>3.9</v>
      </c>
    </row>
    <row r="15" spans="1:17" x14ac:dyDescent="0.25">
      <c r="A15" t="s">
        <v>4</v>
      </c>
      <c r="B15" s="1">
        <v>110254</v>
      </c>
      <c r="D15" t="s">
        <v>4</v>
      </c>
      <c r="E15" s="1">
        <f>B15</f>
        <v>110254</v>
      </c>
      <c r="G15" t="s">
        <v>4</v>
      </c>
      <c r="H15" s="1">
        <f>B15</f>
        <v>110254</v>
      </c>
      <c r="J15" t="s">
        <v>4</v>
      </c>
      <c r="K15" s="1">
        <f>B15</f>
        <v>110254</v>
      </c>
    </row>
    <row r="16" spans="1:17" x14ac:dyDescent="0.25">
      <c r="A16" t="s">
        <v>5</v>
      </c>
      <c r="B16">
        <v>822</v>
      </c>
      <c r="D16" t="s">
        <v>5</v>
      </c>
      <c r="E16">
        <v>2741</v>
      </c>
      <c r="G16" t="s">
        <v>5</v>
      </c>
      <c r="H16">
        <v>3329</v>
      </c>
      <c r="J16" t="s">
        <v>5</v>
      </c>
      <c r="K16">
        <v>942</v>
      </c>
    </row>
    <row r="17" spans="1:12" x14ac:dyDescent="0.25">
      <c r="A17" t="s">
        <v>2</v>
      </c>
      <c r="B17" s="2">
        <f>(B16)/(B15*(B14/100))*10</f>
        <v>7.4555118181653279</v>
      </c>
      <c r="D17" t="s">
        <v>2</v>
      </c>
      <c r="E17" s="2">
        <f>(E16)/(E15*(E14/100))*10</f>
        <v>24.86077602626662</v>
      </c>
      <c r="G17" t="s">
        <v>2</v>
      </c>
      <c r="H17" s="2">
        <f>(H16)/(H15*(H14/100))*10</f>
        <v>75.48478966749505</v>
      </c>
      <c r="J17" t="s">
        <v>2</v>
      </c>
      <c r="K17" s="2">
        <f>(K16)/(K15*(K14/100))*10</f>
        <v>2.19074556513561</v>
      </c>
    </row>
    <row r="19" spans="1:12" x14ac:dyDescent="0.25">
      <c r="A19" t="s">
        <v>91</v>
      </c>
      <c r="B19">
        <v>4875</v>
      </c>
      <c r="C19">
        <v>5572</v>
      </c>
      <c r="D19">
        <f>B19/C19</f>
        <v>0.87491026561378316</v>
      </c>
    </row>
    <row r="20" spans="1:12" x14ac:dyDescent="0.25">
      <c r="A20" t="s">
        <v>80</v>
      </c>
      <c r="B20">
        <v>20883</v>
      </c>
      <c r="E20" s="77" t="s">
        <v>84</v>
      </c>
      <c r="F20" s="77"/>
      <c r="G20" s="77"/>
      <c r="H20" s="77"/>
      <c r="I20" s="77"/>
    </row>
    <row r="21" spans="1:12" x14ac:dyDescent="0.25">
      <c r="A21" t="s">
        <v>81</v>
      </c>
      <c r="B21">
        <v>14584</v>
      </c>
      <c r="E21" s="77"/>
      <c r="F21" s="77"/>
      <c r="G21" s="77"/>
      <c r="H21" s="77"/>
      <c r="I21" s="77"/>
    </row>
    <row r="22" spans="1:12" x14ac:dyDescent="0.25">
      <c r="A22" t="s">
        <v>82</v>
      </c>
      <c r="B22">
        <v>6294</v>
      </c>
      <c r="E22" s="77"/>
      <c r="F22" s="77"/>
      <c r="G22" s="77"/>
      <c r="H22" s="77"/>
      <c r="I22" s="77"/>
    </row>
    <row r="24" spans="1:12" x14ac:dyDescent="0.25">
      <c r="L24" t="s">
        <v>92</v>
      </c>
    </row>
    <row r="25" spans="1:12" x14ac:dyDescent="0.25">
      <c r="A25" t="s">
        <v>100</v>
      </c>
      <c r="B25">
        <v>21117</v>
      </c>
    </row>
    <row r="26" spans="1:12" x14ac:dyDescent="0.25">
      <c r="A26" t="s">
        <v>101</v>
      </c>
      <c r="B26" s="64"/>
    </row>
    <row r="27" spans="1:12" x14ac:dyDescent="0.25">
      <c r="A27" t="s">
        <v>102</v>
      </c>
    </row>
  </sheetData>
  <mergeCells count="1">
    <mergeCell ref="E20:I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workbookViewId="0">
      <selection activeCell="G17" sqref="G17"/>
    </sheetView>
  </sheetViews>
  <sheetFormatPr defaultRowHeight="15" x14ac:dyDescent="0.25"/>
  <cols>
    <col min="2" max="2" width="10.28515625" bestFit="1" customWidth="1"/>
    <col min="7" max="7" width="12" bestFit="1" customWidth="1"/>
    <col min="10" max="10" width="7" bestFit="1" customWidth="1"/>
  </cols>
  <sheetData>
    <row r="1" spans="1:11" x14ac:dyDescent="0.25">
      <c r="A1" s="3" t="s">
        <v>1</v>
      </c>
      <c r="B1" s="3" t="s">
        <v>14</v>
      </c>
      <c r="D1" s="3" t="s">
        <v>8</v>
      </c>
      <c r="E1" s="3" t="s">
        <v>14</v>
      </c>
      <c r="G1" s="3" t="s">
        <v>9</v>
      </c>
      <c r="H1" s="3" t="s">
        <v>14</v>
      </c>
      <c r="J1" s="3" t="s">
        <v>10</v>
      </c>
      <c r="K1" s="3" t="s">
        <v>14</v>
      </c>
    </row>
    <row r="2" spans="1:11" x14ac:dyDescent="0.25">
      <c r="A2" t="s">
        <v>3</v>
      </c>
      <c r="B2">
        <v>0.1</v>
      </c>
      <c r="D2" t="s">
        <v>3</v>
      </c>
      <c r="E2">
        <v>0.5</v>
      </c>
      <c r="G2" t="s">
        <v>3</v>
      </c>
      <c r="H2">
        <v>0.6</v>
      </c>
      <c r="J2" t="s">
        <v>3</v>
      </c>
      <c r="K2">
        <v>0.5</v>
      </c>
    </row>
    <row r="3" spans="1:11" x14ac:dyDescent="0.25">
      <c r="A3" t="s">
        <v>4</v>
      </c>
      <c r="B3" s="1">
        <v>52247</v>
      </c>
      <c r="D3" t="s">
        <v>4</v>
      </c>
      <c r="E3" s="1">
        <f>B3</f>
        <v>52247</v>
      </c>
      <c r="G3" t="s">
        <v>4</v>
      </c>
      <c r="H3" s="1">
        <f>B3</f>
        <v>52247</v>
      </c>
      <c r="J3" t="s">
        <v>4</v>
      </c>
      <c r="K3" s="1">
        <f>B3</f>
        <v>52247</v>
      </c>
    </row>
    <row r="4" spans="1:11" x14ac:dyDescent="0.25">
      <c r="A4" t="s">
        <v>5</v>
      </c>
      <c r="B4">
        <v>43</v>
      </c>
      <c r="D4" t="s">
        <v>5</v>
      </c>
      <c r="E4">
        <v>294</v>
      </c>
      <c r="G4" t="s">
        <v>5</v>
      </c>
      <c r="H4">
        <v>429</v>
      </c>
      <c r="J4" t="s">
        <v>5</v>
      </c>
      <c r="K4">
        <v>63</v>
      </c>
    </row>
    <row r="5" spans="1:11" x14ac:dyDescent="0.25">
      <c r="A5" t="s">
        <v>2</v>
      </c>
      <c r="B5" s="2">
        <f>(B4)/(B3*(B2/100))*10</f>
        <v>8.230137615556874</v>
      </c>
      <c r="D5" t="s">
        <v>2</v>
      </c>
      <c r="E5" s="2">
        <f>(E4)/(E3*(E2/100))*10</f>
        <v>11.254234692901026</v>
      </c>
      <c r="G5" t="s">
        <v>2</v>
      </c>
      <c r="H5" s="2">
        <f>(H4)/(H3*(H2/100))*10</f>
        <v>13.684996267728289</v>
      </c>
      <c r="J5" t="s">
        <v>2</v>
      </c>
      <c r="K5" s="2">
        <f>(K4)/(K3*(K2/100))*10</f>
        <v>2.4116217199073633</v>
      </c>
    </row>
    <row r="7" spans="1:11" x14ac:dyDescent="0.25">
      <c r="A7" s="3" t="s">
        <v>1</v>
      </c>
      <c r="B7" s="3" t="s">
        <v>15</v>
      </c>
      <c r="D7" s="3" t="s">
        <v>8</v>
      </c>
      <c r="E7" s="3" t="s">
        <v>15</v>
      </c>
      <c r="G7" s="3" t="s">
        <v>9</v>
      </c>
      <c r="H7" s="3" t="s">
        <v>15</v>
      </c>
      <c r="J7" s="3" t="s">
        <v>10</v>
      </c>
      <c r="K7" s="3" t="s">
        <v>15</v>
      </c>
    </row>
    <row r="8" spans="1:11" x14ac:dyDescent="0.25">
      <c r="A8" t="s">
        <v>3</v>
      </c>
      <c r="B8">
        <v>0.3</v>
      </c>
      <c r="D8" t="s">
        <v>3</v>
      </c>
      <c r="E8">
        <v>0.5</v>
      </c>
      <c r="G8" t="s">
        <v>3</v>
      </c>
      <c r="H8">
        <v>0.8</v>
      </c>
      <c r="J8" t="s">
        <v>3</v>
      </c>
      <c r="K8">
        <v>0.7</v>
      </c>
    </row>
    <row r="9" spans="1:11" x14ac:dyDescent="0.25">
      <c r="A9" t="s">
        <v>4</v>
      </c>
      <c r="B9" s="1">
        <v>24627</v>
      </c>
      <c r="D9" t="s">
        <v>4</v>
      </c>
      <c r="E9" s="1">
        <f>B9</f>
        <v>24627</v>
      </c>
      <c r="G9" t="s">
        <v>4</v>
      </c>
      <c r="H9" s="1">
        <f>B9</f>
        <v>24627</v>
      </c>
      <c r="J9" t="s">
        <v>4</v>
      </c>
      <c r="K9" s="1">
        <f>B9</f>
        <v>24627</v>
      </c>
    </row>
    <row r="10" spans="1:11" x14ac:dyDescent="0.25">
      <c r="A10" t="s">
        <v>5</v>
      </c>
      <c r="B10">
        <v>111</v>
      </c>
      <c r="D10" t="s">
        <v>5</v>
      </c>
      <c r="E10">
        <v>304</v>
      </c>
      <c r="G10" t="s">
        <v>5</v>
      </c>
      <c r="H10">
        <v>1096</v>
      </c>
      <c r="J10" t="s">
        <v>5</v>
      </c>
      <c r="K10">
        <v>110</v>
      </c>
    </row>
    <row r="11" spans="1:11" x14ac:dyDescent="0.25">
      <c r="A11" t="s">
        <v>2</v>
      </c>
      <c r="B11" s="2">
        <f>(B10)/(B9*(B8/100))*10</f>
        <v>15.024160474276201</v>
      </c>
      <c r="D11" t="s">
        <v>2</v>
      </c>
      <c r="E11" s="2">
        <f>(E10)/(E9*(E8/100))*10</f>
        <v>24.688350184756569</v>
      </c>
      <c r="G11" t="s">
        <v>2</v>
      </c>
      <c r="H11" s="2">
        <f>(H10)/(H9*(H8/100))*10</f>
        <v>55.629999593941612</v>
      </c>
      <c r="J11" t="s">
        <v>2</v>
      </c>
      <c r="K11" s="2">
        <f>(K10)/(K9*(K8/100))*10</f>
        <v>6.3809175759474224</v>
      </c>
    </row>
    <row r="13" spans="1:11" x14ac:dyDescent="0.25">
      <c r="A13" s="3" t="s">
        <v>1</v>
      </c>
      <c r="B13" s="3" t="s">
        <v>16</v>
      </c>
      <c r="D13" s="3" t="s">
        <v>8</v>
      </c>
      <c r="E13" s="3" t="s">
        <v>16</v>
      </c>
      <c r="G13" s="3" t="s">
        <v>9</v>
      </c>
      <c r="H13" s="3" t="s">
        <v>16</v>
      </c>
      <c r="J13" s="3" t="s">
        <v>10</v>
      </c>
      <c r="K13" s="3" t="s">
        <v>16</v>
      </c>
    </row>
    <row r="14" spans="1:11" x14ac:dyDescent="0.25">
      <c r="A14" t="s">
        <v>3</v>
      </c>
      <c r="B14">
        <v>0.3</v>
      </c>
      <c r="D14" t="s">
        <v>3</v>
      </c>
      <c r="E14">
        <v>0.6</v>
      </c>
      <c r="G14" t="s">
        <v>3</v>
      </c>
      <c r="H14">
        <v>0.6</v>
      </c>
      <c r="J14" t="s">
        <v>3</v>
      </c>
      <c r="K14">
        <v>1.5</v>
      </c>
    </row>
    <row r="15" spans="1:11" x14ac:dyDescent="0.25">
      <c r="A15" t="s">
        <v>4</v>
      </c>
      <c r="B15" s="1">
        <v>37792</v>
      </c>
      <c r="D15" t="s">
        <v>4</v>
      </c>
      <c r="E15" s="1">
        <f>B15</f>
        <v>37792</v>
      </c>
      <c r="G15" t="s">
        <v>4</v>
      </c>
      <c r="H15" s="1">
        <f>B15</f>
        <v>37792</v>
      </c>
      <c r="J15" t="s">
        <v>4</v>
      </c>
      <c r="K15" s="1">
        <f>B15</f>
        <v>37792</v>
      </c>
    </row>
    <row r="16" spans="1:11" x14ac:dyDescent="0.25">
      <c r="A16" t="s">
        <v>5</v>
      </c>
      <c r="B16">
        <v>183</v>
      </c>
      <c r="D16" t="s">
        <v>5</v>
      </c>
      <c r="E16">
        <v>546</v>
      </c>
      <c r="G16" t="s">
        <v>5</v>
      </c>
      <c r="H16">
        <v>1359</v>
      </c>
      <c r="J16" t="s">
        <v>5</v>
      </c>
      <c r="K16">
        <v>188</v>
      </c>
    </row>
    <row r="17" spans="1:11" x14ac:dyDescent="0.25">
      <c r="A17" t="s">
        <v>2</v>
      </c>
      <c r="B17" s="2">
        <f>(B16)/(B15*(B14/100))*10</f>
        <v>16.140982218458934</v>
      </c>
      <c r="D17" t="s">
        <v>2</v>
      </c>
      <c r="E17" s="2">
        <f>(E16)/(E15*(E14/100))*10</f>
        <v>24.079170194750212</v>
      </c>
      <c r="G17" t="s">
        <v>2</v>
      </c>
      <c r="H17" s="2">
        <f>(H16)/(H15*(H14/100))*10</f>
        <v>59.933319220999152</v>
      </c>
      <c r="J17" t="s">
        <v>2</v>
      </c>
      <c r="K17" s="2">
        <f>(K16)/(K15*(K14/100))*10</f>
        <v>3.3163985323172449</v>
      </c>
    </row>
    <row r="19" spans="1:11" x14ac:dyDescent="0.25">
      <c r="A19" s="3" t="s">
        <v>1</v>
      </c>
      <c r="B19" s="3" t="s">
        <v>17</v>
      </c>
      <c r="D19" s="3" t="s">
        <v>8</v>
      </c>
      <c r="E19" s="3" t="s">
        <v>17</v>
      </c>
      <c r="G19" s="3" t="s">
        <v>9</v>
      </c>
      <c r="H19" s="3" t="s">
        <v>17</v>
      </c>
      <c r="J19" s="3" t="s">
        <v>10</v>
      </c>
      <c r="K19" s="3" t="s">
        <v>17</v>
      </c>
    </row>
    <row r="20" spans="1:11" x14ac:dyDescent="0.25">
      <c r="A20" t="s">
        <v>3</v>
      </c>
      <c r="B20">
        <v>0.4</v>
      </c>
      <c r="D20" t="s">
        <v>3</v>
      </c>
      <c r="E20">
        <v>1</v>
      </c>
      <c r="G20" t="s">
        <v>3</v>
      </c>
      <c r="H20">
        <v>0.6</v>
      </c>
      <c r="J20" t="s">
        <v>3</v>
      </c>
      <c r="K20">
        <v>1.9</v>
      </c>
    </row>
    <row r="21" spans="1:11" x14ac:dyDescent="0.25">
      <c r="A21" t="s">
        <v>4</v>
      </c>
      <c r="B21" s="1">
        <v>32978</v>
      </c>
      <c r="D21" t="s">
        <v>4</v>
      </c>
      <c r="E21" s="1">
        <f>B21</f>
        <v>32978</v>
      </c>
      <c r="G21" t="s">
        <v>4</v>
      </c>
      <c r="H21" s="1">
        <f>B21</f>
        <v>32978</v>
      </c>
      <c r="J21" t="s">
        <v>4</v>
      </c>
      <c r="K21" s="1">
        <f>B21</f>
        <v>32978</v>
      </c>
    </row>
    <row r="22" spans="1:11" x14ac:dyDescent="0.25">
      <c r="A22" t="s">
        <v>5</v>
      </c>
      <c r="B22">
        <v>138</v>
      </c>
      <c r="D22" t="s">
        <v>5</v>
      </c>
      <c r="E22">
        <v>437</v>
      </c>
      <c r="G22" t="s">
        <v>5</v>
      </c>
      <c r="H22">
        <v>919</v>
      </c>
      <c r="J22" t="s">
        <v>5</v>
      </c>
      <c r="K22">
        <v>146</v>
      </c>
    </row>
    <row r="23" spans="1:11" x14ac:dyDescent="0.25">
      <c r="A23" t="s">
        <v>2</v>
      </c>
      <c r="B23" s="2">
        <f>(B22)/(B21*(B20/100))*10</f>
        <v>10.461519801079506</v>
      </c>
      <c r="D23" t="s">
        <v>2</v>
      </c>
      <c r="E23" s="2">
        <f>(E22)/(E21*(E20/100))*10</f>
        <v>13.251258414700708</v>
      </c>
      <c r="G23" t="s">
        <v>2</v>
      </c>
      <c r="H23" s="2">
        <f>(H22)/(H21*(H20/100))*10</f>
        <v>46.445104817352984</v>
      </c>
      <c r="J23" t="s">
        <v>2</v>
      </c>
      <c r="K23" s="2">
        <f>(K22)/(K21*(K20/100))*10</f>
        <v>2.3301020457019193</v>
      </c>
    </row>
    <row r="25" spans="1:11" x14ac:dyDescent="0.25">
      <c r="A25" s="3" t="s">
        <v>1</v>
      </c>
      <c r="B25" s="3" t="s">
        <v>18</v>
      </c>
      <c r="D25" s="3" t="s">
        <v>8</v>
      </c>
      <c r="E25" s="3" t="s">
        <v>18</v>
      </c>
      <c r="G25" s="3" t="s">
        <v>9</v>
      </c>
      <c r="H25" s="3" t="s">
        <v>18</v>
      </c>
      <c r="J25" s="3" t="s">
        <v>10</v>
      </c>
      <c r="K25" s="3" t="s">
        <v>18</v>
      </c>
    </row>
    <row r="26" spans="1:11" x14ac:dyDescent="0.25">
      <c r="A26" t="s">
        <v>3</v>
      </c>
      <c r="B26">
        <v>1</v>
      </c>
      <c r="D26" t="s">
        <v>3</v>
      </c>
      <c r="E26">
        <v>1.9</v>
      </c>
      <c r="G26" t="s">
        <v>3</v>
      </c>
      <c r="H26">
        <v>0.4</v>
      </c>
      <c r="J26" t="s">
        <v>3</v>
      </c>
      <c r="K26">
        <v>5.0999999999999996</v>
      </c>
    </row>
    <row r="27" spans="1:11" x14ac:dyDescent="0.25">
      <c r="A27" t="s">
        <v>4</v>
      </c>
      <c r="B27" s="1">
        <v>53706</v>
      </c>
      <c r="D27" t="s">
        <v>4</v>
      </c>
      <c r="E27" s="1">
        <f>B27</f>
        <v>53706</v>
      </c>
      <c r="G27" t="s">
        <v>4</v>
      </c>
      <c r="H27" s="1">
        <f>B27</f>
        <v>53706</v>
      </c>
      <c r="J27" t="s">
        <v>4</v>
      </c>
      <c r="K27" s="1">
        <f>B27</f>
        <v>53706</v>
      </c>
    </row>
    <row r="28" spans="1:11" x14ac:dyDescent="0.25">
      <c r="A28" t="s">
        <v>5</v>
      </c>
      <c r="B28">
        <v>176</v>
      </c>
      <c r="D28" t="s">
        <v>5</v>
      </c>
      <c r="E28">
        <v>771</v>
      </c>
      <c r="G28" t="s">
        <v>5</v>
      </c>
      <c r="H28">
        <v>1130</v>
      </c>
      <c r="J28" t="s">
        <v>5</v>
      </c>
      <c r="K28">
        <v>246</v>
      </c>
    </row>
    <row r="29" spans="1:11" x14ac:dyDescent="0.25">
      <c r="A29" t="s">
        <v>2</v>
      </c>
      <c r="B29" s="2">
        <f>(B28)/(B27*(B26/100))*10</f>
        <v>3.2771012549808209</v>
      </c>
      <c r="D29" t="s">
        <v>2</v>
      </c>
      <c r="E29" s="2">
        <f>(E28)/(E27*(E26/100))*10</f>
        <v>7.5557567810712118</v>
      </c>
      <c r="G29" t="s">
        <v>2</v>
      </c>
      <c r="H29" s="2">
        <f>(H28)/(H27*(H26/100))*10</f>
        <v>52.601199121141022</v>
      </c>
      <c r="J29" t="s">
        <v>2</v>
      </c>
      <c r="K29" s="2">
        <f>(K28)/(K27*(K26/100))*10</f>
        <v>0.89813603913244444</v>
      </c>
    </row>
    <row r="31" spans="1:11" x14ac:dyDescent="0.25">
      <c r="A31" s="3" t="s">
        <v>1</v>
      </c>
      <c r="B31" s="3" t="s">
        <v>19</v>
      </c>
      <c r="D31" s="3" t="s">
        <v>8</v>
      </c>
      <c r="E31" s="3" t="s">
        <v>19</v>
      </c>
      <c r="G31" s="3" t="s">
        <v>9</v>
      </c>
      <c r="H31" s="3" t="s">
        <v>19</v>
      </c>
      <c r="J31" s="3" t="s">
        <v>10</v>
      </c>
      <c r="K31" s="3" t="s">
        <v>19</v>
      </c>
    </row>
    <row r="32" spans="1:11" x14ac:dyDescent="0.25">
      <c r="A32" t="s">
        <v>3</v>
      </c>
      <c r="B32">
        <v>5.2</v>
      </c>
      <c r="D32" t="s">
        <v>3</v>
      </c>
      <c r="E32">
        <v>3.3</v>
      </c>
      <c r="G32" t="s">
        <v>3</v>
      </c>
      <c r="H32">
        <v>0.1</v>
      </c>
      <c r="J32" t="s">
        <v>3</v>
      </c>
      <c r="K32">
        <v>11.5</v>
      </c>
    </row>
    <row r="33" spans="1:11" x14ac:dyDescent="0.25">
      <c r="A33" t="s">
        <v>4</v>
      </c>
      <c r="B33" s="1">
        <v>31981</v>
      </c>
      <c r="D33" t="s">
        <v>4</v>
      </c>
      <c r="E33" s="1">
        <f>B33</f>
        <v>31981</v>
      </c>
      <c r="G33" t="s">
        <v>4</v>
      </c>
      <c r="H33" s="1">
        <f>B33</f>
        <v>31981</v>
      </c>
      <c r="J33" t="s">
        <v>4</v>
      </c>
      <c r="K33" s="1">
        <f>B33</f>
        <v>31981</v>
      </c>
    </row>
    <row r="34" spans="1:11" x14ac:dyDescent="0.25">
      <c r="A34" t="s">
        <v>5</v>
      </c>
      <c r="B34">
        <v>319</v>
      </c>
      <c r="D34" t="s">
        <v>5</v>
      </c>
      <c r="E34">
        <v>1014</v>
      </c>
      <c r="G34" t="s">
        <v>5</v>
      </c>
      <c r="H34">
        <v>498</v>
      </c>
      <c r="J34" t="s">
        <v>5</v>
      </c>
      <c r="K34">
        <v>425</v>
      </c>
    </row>
    <row r="35" spans="1:11" x14ac:dyDescent="0.25">
      <c r="A35" t="s">
        <v>2</v>
      </c>
      <c r="B35" s="2">
        <f>(B34)/(B33*(B32/100))*10</f>
        <v>1.9182062426488802</v>
      </c>
      <c r="D35" t="s">
        <v>2</v>
      </c>
      <c r="E35" s="2">
        <f>(E34)/(E33*(E32/100))*10</f>
        <v>9.6079774638919133</v>
      </c>
      <c r="G35" t="s">
        <v>2</v>
      </c>
      <c r="H35" s="2">
        <f>(H34)/(H33*(H32/100))*10</f>
        <v>155.71745724023637</v>
      </c>
      <c r="J35" t="s">
        <v>2</v>
      </c>
      <c r="K35" s="2">
        <f>(K34)/(K33*(K32/100))*10</f>
        <v>1.1555774284459659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5"/>
  <sheetViews>
    <sheetView zoomScale="85" zoomScaleNormal="85" workbookViewId="0">
      <selection activeCell="S5" sqref="S5"/>
    </sheetView>
  </sheetViews>
  <sheetFormatPr defaultRowHeight="15" x14ac:dyDescent="0.25"/>
  <cols>
    <col min="7" max="7" width="12" bestFit="1" customWidth="1"/>
    <col min="10" max="10" width="11.42578125" customWidth="1"/>
    <col min="13" max="13" width="24.28515625" bestFit="1" customWidth="1"/>
  </cols>
  <sheetData>
    <row r="1" spans="1:25" x14ac:dyDescent="0.25">
      <c r="A1" s="3" t="s">
        <v>1</v>
      </c>
      <c r="B1" s="3" t="s">
        <v>14</v>
      </c>
      <c r="D1" s="3" t="s">
        <v>8</v>
      </c>
      <c r="E1" s="3" t="s">
        <v>14</v>
      </c>
      <c r="G1" s="3" t="s">
        <v>9</v>
      </c>
      <c r="H1" s="3" t="s">
        <v>14</v>
      </c>
      <c r="J1" s="3" t="s">
        <v>10</v>
      </c>
      <c r="K1" s="3" t="s">
        <v>14</v>
      </c>
      <c r="L1" s="3" t="s">
        <v>20</v>
      </c>
      <c r="M1" s="4"/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</row>
    <row r="2" spans="1:25" x14ac:dyDescent="0.25">
      <c r="A2" t="s">
        <v>3</v>
      </c>
      <c r="B2">
        <v>0.1</v>
      </c>
      <c r="D2" t="s">
        <v>3</v>
      </c>
      <c r="E2">
        <v>0.5</v>
      </c>
      <c r="G2" t="s">
        <v>3</v>
      </c>
      <c r="H2">
        <v>0.6</v>
      </c>
      <c r="J2" t="s">
        <v>3</v>
      </c>
      <c r="K2">
        <v>0.5</v>
      </c>
      <c r="M2" s="30" t="s">
        <v>59</v>
      </c>
      <c r="N2" s="11">
        <f>H5</f>
        <v>28.173908726464859</v>
      </c>
      <c r="O2" s="11">
        <f>H11</f>
        <v>68.571130144140369</v>
      </c>
      <c r="P2" s="11">
        <f>H17</f>
        <v>65.023684998327084</v>
      </c>
      <c r="Q2" s="11">
        <f>H23</f>
        <v>47.624807232923104</v>
      </c>
      <c r="R2" s="11">
        <f>H29</f>
        <v>55.03760219968315</v>
      </c>
      <c r="S2" s="11">
        <f>H35</f>
        <v>153.07364576993305</v>
      </c>
    </row>
    <row r="3" spans="1:25" x14ac:dyDescent="0.25">
      <c r="A3" t="s">
        <v>4</v>
      </c>
      <c r="B3" s="1">
        <v>26857</v>
      </c>
      <c r="D3" t="s">
        <v>4</v>
      </c>
      <c r="E3" s="1">
        <f>B3</f>
        <v>26857</v>
      </c>
      <c r="G3" t="s">
        <v>4</v>
      </c>
      <c r="H3" s="1">
        <f>B3</f>
        <v>26857</v>
      </c>
      <c r="J3" t="s">
        <v>4</v>
      </c>
      <c r="K3" s="1">
        <f>B3</f>
        <v>26857</v>
      </c>
      <c r="M3" s="5" t="s">
        <v>12</v>
      </c>
      <c r="N3" s="6">
        <f>E5</f>
        <v>20.553300815429871</v>
      </c>
      <c r="O3" s="6">
        <f>E11</f>
        <v>31.585544182160021</v>
      </c>
      <c r="P3" s="6">
        <f>E17</f>
        <v>24.213288252593021</v>
      </c>
      <c r="Q3" s="6">
        <f>E23</f>
        <v>15.118986423150194</v>
      </c>
      <c r="R3" s="6">
        <f>E29</f>
        <v>7.9162525648754141</v>
      </c>
      <c r="S3" s="6">
        <f>E35</f>
        <v>10.429923089691805</v>
      </c>
    </row>
    <row r="4" spans="1:25" x14ac:dyDescent="0.25">
      <c r="A4" t="s">
        <v>5</v>
      </c>
      <c r="B4">
        <v>45</v>
      </c>
      <c r="D4" t="s">
        <v>5</v>
      </c>
      <c r="E4">
        <v>276</v>
      </c>
      <c r="G4" t="s">
        <v>5</v>
      </c>
      <c r="H4">
        <v>454</v>
      </c>
      <c r="J4" t="s">
        <v>5</v>
      </c>
      <c r="K4">
        <v>75</v>
      </c>
      <c r="M4" s="9" t="s">
        <v>13</v>
      </c>
      <c r="N4" s="10">
        <f>B5</f>
        <v>16.755408273448264</v>
      </c>
      <c r="O4" s="10">
        <f>B11</f>
        <v>17.268992409999303</v>
      </c>
      <c r="P4" s="10">
        <f>B17</f>
        <v>17.433567541866978</v>
      </c>
      <c r="Q4" s="10">
        <f>B23</f>
        <v>11.641619545825648</v>
      </c>
      <c r="R4" s="10">
        <f>B29</f>
        <v>3.6600688311451828</v>
      </c>
      <c r="S4" s="10">
        <f>B35</f>
        <v>1.720586169764502</v>
      </c>
    </row>
    <row r="5" spans="1:25" x14ac:dyDescent="0.25">
      <c r="A5" t="s">
        <v>2</v>
      </c>
      <c r="B5" s="2">
        <f>(B4)/(B3*(B2/100))*10</f>
        <v>16.755408273448264</v>
      </c>
      <c r="D5" t="s">
        <v>2</v>
      </c>
      <c r="E5" s="2">
        <f>(E4)/(E3*(E2/100))*10</f>
        <v>20.553300815429871</v>
      </c>
      <c r="G5" t="s">
        <v>2</v>
      </c>
      <c r="H5" s="2">
        <f>(H4)/(H3*(H2/100))*10</f>
        <v>28.173908726464859</v>
      </c>
      <c r="J5" t="s">
        <v>2</v>
      </c>
      <c r="K5" s="2">
        <f>(K4)/(K3*(K2/100))*10</f>
        <v>5.5851360911494208</v>
      </c>
      <c r="M5" s="7" t="s">
        <v>11</v>
      </c>
      <c r="N5" s="8">
        <f>K5</f>
        <v>5.5851360911494208</v>
      </c>
      <c r="O5" s="8">
        <f>K11</f>
        <v>8.9528186457369667</v>
      </c>
      <c r="P5" s="8">
        <f>K17</f>
        <v>3.2049588814341314</v>
      </c>
      <c r="Q5" s="8">
        <f>K23</f>
        <v>2.4986114404574531</v>
      </c>
      <c r="R5" s="8">
        <f>K29</f>
        <v>0.96759209173772764</v>
      </c>
      <c r="S5" s="8">
        <f>K35</f>
        <v>1.2649183624864377</v>
      </c>
    </row>
    <row r="7" spans="1:25" x14ac:dyDescent="0.25">
      <c r="A7" s="3" t="s">
        <v>1</v>
      </c>
      <c r="B7" s="3" t="s">
        <v>15</v>
      </c>
      <c r="D7" s="3" t="s">
        <v>8</v>
      </c>
      <c r="E7" s="3" t="s">
        <v>15</v>
      </c>
      <c r="G7" s="3" t="s">
        <v>9</v>
      </c>
      <c r="H7" s="3" t="s">
        <v>15</v>
      </c>
      <c r="J7" s="3" t="s">
        <v>10</v>
      </c>
      <c r="K7" s="3" t="s">
        <v>15</v>
      </c>
      <c r="U7" s="29" t="s">
        <v>64</v>
      </c>
      <c r="V7" s="29"/>
      <c r="W7" s="29"/>
      <c r="X7" s="29"/>
      <c r="Y7" s="29"/>
    </row>
    <row r="8" spans="1:25" x14ac:dyDescent="0.25">
      <c r="A8" t="s">
        <v>3</v>
      </c>
      <c r="B8">
        <v>0.3</v>
      </c>
      <c r="D8" t="s">
        <v>3</v>
      </c>
      <c r="E8">
        <v>0.5</v>
      </c>
      <c r="G8" t="s">
        <v>3</v>
      </c>
      <c r="H8">
        <v>0.8</v>
      </c>
      <c r="J8" t="s">
        <v>3</v>
      </c>
      <c r="K8">
        <v>0.7</v>
      </c>
    </row>
    <row r="9" spans="1:25" x14ac:dyDescent="0.25">
      <c r="A9" t="s">
        <v>4</v>
      </c>
      <c r="B9" s="1">
        <v>23935</v>
      </c>
      <c r="D9" t="s">
        <v>4</v>
      </c>
      <c r="E9" s="1">
        <f>B9</f>
        <v>23935</v>
      </c>
      <c r="G9" t="s">
        <v>4</v>
      </c>
      <c r="H9" s="1">
        <f>B9</f>
        <v>23935</v>
      </c>
      <c r="J9" t="s">
        <v>4</v>
      </c>
      <c r="K9" s="1">
        <f>B9</f>
        <v>23935</v>
      </c>
      <c r="U9" s="29" t="s">
        <v>61</v>
      </c>
      <c r="V9" s="29"/>
      <c r="W9" s="29"/>
      <c r="X9" s="29"/>
    </row>
    <row r="10" spans="1:25" x14ac:dyDescent="0.25">
      <c r="A10" t="s">
        <v>5</v>
      </c>
      <c r="B10">
        <v>124</v>
      </c>
      <c r="D10" t="s">
        <v>5</v>
      </c>
      <c r="E10">
        <v>378</v>
      </c>
      <c r="G10" t="s">
        <v>5</v>
      </c>
      <c r="H10">
        <v>1313</v>
      </c>
      <c r="J10" t="s">
        <v>5</v>
      </c>
      <c r="K10">
        <v>150</v>
      </c>
    </row>
    <row r="11" spans="1:25" x14ac:dyDescent="0.25">
      <c r="A11" t="s">
        <v>2</v>
      </c>
      <c r="B11" s="2">
        <f>(B10)/(B9*(B8/100))*10</f>
        <v>17.268992409999303</v>
      </c>
      <c r="D11" t="s">
        <v>2</v>
      </c>
      <c r="E11" s="2">
        <f>(E10)/(E9*(E8/100))*10</f>
        <v>31.585544182160021</v>
      </c>
      <c r="G11" t="s">
        <v>2</v>
      </c>
      <c r="H11" s="2">
        <f>(H10)/(H9*(H8/100))*10</f>
        <v>68.571130144140369</v>
      </c>
      <c r="J11" t="s">
        <v>2</v>
      </c>
      <c r="K11" s="2">
        <f>(K10)/(K9*(K8/100))*10</f>
        <v>8.9528186457369667</v>
      </c>
    </row>
    <row r="13" spans="1:25" x14ac:dyDescent="0.25">
      <c r="A13" s="3" t="s">
        <v>1</v>
      </c>
      <c r="B13" s="3" t="s">
        <v>16</v>
      </c>
      <c r="D13" s="3" t="s">
        <v>8</v>
      </c>
      <c r="E13" s="3" t="s">
        <v>16</v>
      </c>
      <c r="G13" s="3" t="s">
        <v>9</v>
      </c>
      <c r="H13" s="3" t="s">
        <v>16</v>
      </c>
      <c r="J13" s="3" t="s">
        <v>10</v>
      </c>
      <c r="K13" s="3" t="s">
        <v>16</v>
      </c>
    </row>
    <row r="14" spans="1:25" x14ac:dyDescent="0.25">
      <c r="A14" t="s">
        <v>3</v>
      </c>
      <c r="B14">
        <v>0.3</v>
      </c>
      <c r="D14" t="s">
        <v>3</v>
      </c>
      <c r="E14">
        <v>0.6</v>
      </c>
      <c r="G14" t="s">
        <v>3</v>
      </c>
      <c r="H14">
        <v>0.6</v>
      </c>
      <c r="J14" t="s">
        <v>3</v>
      </c>
      <c r="K14">
        <v>1.5</v>
      </c>
    </row>
    <row r="15" spans="1:25" x14ac:dyDescent="0.25">
      <c r="A15" t="s">
        <v>4</v>
      </c>
      <c r="B15" s="1">
        <v>37858</v>
      </c>
      <c r="D15" t="s">
        <v>4</v>
      </c>
      <c r="E15" s="1">
        <f>B15</f>
        <v>37858</v>
      </c>
      <c r="G15" t="s">
        <v>4</v>
      </c>
      <c r="H15" s="1">
        <f>B15</f>
        <v>37858</v>
      </c>
      <c r="J15" t="s">
        <v>4</v>
      </c>
      <c r="K15" s="1">
        <f>B15</f>
        <v>37858</v>
      </c>
    </row>
    <row r="16" spans="1:25" x14ac:dyDescent="0.25">
      <c r="A16" t="s">
        <v>5</v>
      </c>
      <c r="B16">
        <v>198</v>
      </c>
      <c r="D16" t="s">
        <v>5</v>
      </c>
      <c r="E16">
        <v>550</v>
      </c>
      <c r="G16" t="s">
        <v>5</v>
      </c>
      <c r="H16">
        <v>1477</v>
      </c>
      <c r="J16" t="s">
        <v>5</v>
      </c>
      <c r="K16">
        <v>182</v>
      </c>
    </row>
    <row r="17" spans="1:11" x14ac:dyDescent="0.25">
      <c r="A17" t="s">
        <v>2</v>
      </c>
      <c r="B17" s="2">
        <f>(B16)/(B15*(B14/100))*10</f>
        <v>17.433567541866978</v>
      </c>
      <c r="D17" t="s">
        <v>2</v>
      </c>
      <c r="E17" s="2">
        <f>(E16)/(E15*(E14/100))*10</f>
        <v>24.213288252593021</v>
      </c>
      <c r="G17" t="s">
        <v>2</v>
      </c>
      <c r="H17" s="2">
        <f>(H16)/(H15*(H14/100))*10</f>
        <v>65.023684998327084</v>
      </c>
      <c r="J17" t="s">
        <v>2</v>
      </c>
      <c r="K17" s="2">
        <f>(K16)/(K15*(K14/100))*10</f>
        <v>3.2049588814341314</v>
      </c>
    </row>
    <row r="19" spans="1:11" x14ac:dyDescent="0.25">
      <c r="A19" s="3" t="s">
        <v>1</v>
      </c>
      <c r="B19" s="3" t="s">
        <v>17</v>
      </c>
      <c r="D19" s="3" t="s">
        <v>8</v>
      </c>
      <c r="E19" s="3" t="s">
        <v>17</v>
      </c>
      <c r="G19" s="3" t="s">
        <v>9</v>
      </c>
      <c r="H19" s="3" t="s">
        <v>17</v>
      </c>
      <c r="J19" s="3" t="s">
        <v>10</v>
      </c>
      <c r="K19" s="3" t="s">
        <v>17</v>
      </c>
    </row>
    <row r="20" spans="1:11" x14ac:dyDescent="0.25">
      <c r="A20" t="s">
        <v>3</v>
      </c>
      <c r="B20">
        <v>0.4</v>
      </c>
      <c r="D20" t="s">
        <v>3</v>
      </c>
      <c r="E20">
        <v>1</v>
      </c>
      <c r="G20" t="s">
        <v>3</v>
      </c>
      <c r="H20">
        <v>0.6</v>
      </c>
      <c r="J20" t="s">
        <v>3</v>
      </c>
      <c r="K20">
        <v>1.9</v>
      </c>
    </row>
    <row r="21" spans="1:11" x14ac:dyDescent="0.25">
      <c r="A21" t="s">
        <v>4</v>
      </c>
      <c r="B21" s="1">
        <v>33071</v>
      </c>
      <c r="D21" t="s">
        <v>4</v>
      </c>
      <c r="E21" s="1">
        <f>B21</f>
        <v>33071</v>
      </c>
      <c r="G21" t="s">
        <v>4</v>
      </c>
      <c r="H21" s="1">
        <f>B21</f>
        <v>33071</v>
      </c>
      <c r="J21" t="s">
        <v>4</v>
      </c>
      <c r="K21" s="1">
        <f>B21</f>
        <v>33071</v>
      </c>
    </row>
    <row r="22" spans="1:11" x14ac:dyDescent="0.25">
      <c r="A22" t="s">
        <v>5</v>
      </c>
      <c r="B22">
        <v>154</v>
      </c>
      <c r="D22" t="s">
        <v>5</v>
      </c>
      <c r="E22">
        <v>500</v>
      </c>
      <c r="G22" t="s">
        <v>5</v>
      </c>
      <c r="H22">
        <v>945</v>
      </c>
      <c r="J22" t="s">
        <v>5</v>
      </c>
      <c r="K22">
        <v>157</v>
      </c>
    </row>
    <row r="23" spans="1:11" x14ac:dyDescent="0.25">
      <c r="A23" t="s">
        <v>2</v>
      </c>
      <c r="B23" s="2">
        <f>(B22)/(B21*(B20/100))*10</f>
        <v>11.641619545825648</v>
      </c>
      <c r="D23" t="s">
        <v>2</v>
      </c>
      <c r="E23" s="2">
        <f>(E22)/(E21*(E20/100))*10</f>
        <v>15.118986423150194</v>
      </c>
      <c r="G23" t="s">
        <v>2</v>
      </c>
      <c r="H23" s="2">
        <f>(H22)/(H21*(H20/100))*10</f>
        <v>47.624807232923104</v>
      </c>
      <c r="J23" t="s">
        <v>2</v>
      </c>
      <c r="K23" s="2">
        <f>(K22)/(K21*(K20/100))*10</f>
        <v>2.4986114404574531</v>
      </c>
    </row>
    <row r="25" spans="1:11" x14ac:dyDescent="0.25">
      <c r="A25" s="3" t="s">
        <v>1</v>
      </c>
      <c r="B25" s="3" t="s">
        <v>18</v>
      </c>
      <c r="D25" s="3" t="s">
        <v>8</v>
      </c>
      <c r="E25" s="3" t="s">
        <v>18</v>
      </c>
      <c r="G25" s="3" t="s">
        <v>9</v>
      </c>
      <c r="H25" s="3" t="s">
        <v>18</v>
      </c>
      <c r="J25" s="3" t="s">
        <v>10</v>
      </c>
      <c r="K25" s="3" t="s">
        <v>18</v>
      </c>
    </row>
    <row r="26" spans="1:11" x14ac:dyDescent="0.25">
      <c r="A26" t="s">
        <v>3</v>
      </c>
      <c r="B26">
        <v>1</v>
      </c>
      <c r="D26" t="s">
        <v>3</v>
      </c>
      <c r="E26">
        <v>1.9</v>
      </c>
      <c r="G26" t="s">
        <v>3</v>
      </c>
      <c r="H26">
        <v>0.4</v>
      </c>
      <c r="J26" t="s">
        <v>3</v>
      </c>
      <c r="K26">
        <v>5.0999999999999996</v>
      </c>
    </row>
    <row r="27" spans="1:11" x14ac:dyDescent="0.25">
      <c r="A27" t="s">
        <v>4</v>
      </c>
      <c r="B27" s="1">
        <v>54917</v>
      </c>
      <c r="D27" t="s">
        <v>4</v>
      </c>
      <c r="E27" s="1">
        <f>B27</f>
        <v>54917</v>
      </c>
      <c r="G27" t="s">
        <v>4</v>
      </c>
      <c r="H27" s="1">
        <f>B27</f>
        <v>54917</v>
      </c>
      <c r="J27" t="s">
        <v>4</v>
      </c>
      <c r="K27" s="1">
        <f>B27</f>
        <v>54917</v>
      </c>
    </row>
    <row r="28" spans="1:11" x14ac:dyDescent="0.25">
      <c r="A28" t="s">
        <v>5</v>
      </c>
      <c r="B28">
        <v>201</v>
      </c>
      <c r="D28" t="s">
        <v>5</v>
      </c>
      <c r="E28">
        <v>826</v>
      </c>
      <c r="G28" t="s">
        <v>5</v>
      </c>
      <c r="H28">
        <v>1209</v>
      </c>
      <c r="J28" t="s">
        <v>5</v>
      </c>
      <c r="K28">
        <v>271</v>
      </c>
    </row>
    <row r="29" spans="1:11" x14ac:dyDescent="0.25">
      <c r="A29" t="s">
        <v>2</v>
      </c>
      <c r="B29" s="2">
        <f>(B28)/(B27*(B26/100))*10</f>
        <v>3.6600688311451828</v>
      </c>
      <c r="D29" t="s">
        <v>2</v>
      </c>
      <c r="E29" s="2">
        <f>(E28)/(E27*(E26/100))*10</f>
        <v>7.9162525648754141</v>
      </c>
      <c r="G29" t="s">
        <v>2</v>
      </c>
      <c r="H29" s="2">
        <f>(H28)/(H27*(H26/100))*10</f>
        <v>55.03760219968315</v>
      </c>
      <c r="J29" t="s">
        <v>2</v>
      </c>
      <c r="K29" s="2">
        <f>(K28)/(K27*(K26/100))*10</f>
        <v>0.96759209173772764</v>
      </c>
    </row>
    <row r="31" spans="1:11" x14ac:dyDescent="0.25">
      <c r="A31" s="3" t="s">
        <v>1</v>
      </c>
      <c r="B31" s="3" t="s">
        <v>19</v>
      </c>
      <c r="D31" s="3" t="s">
        <v>8</v>
      </c>
      <c r="E31" s="3" t="s">
        <v>19</v>
      </c>
      <c r="G31" s="3" t="s">
        <v>9</v>
      </c>
      <c r="H31" s="3" t="s">
        <v>19</v>
      </c>
      <c r="J31" s="3" t="s">
        <v>10</v>
      </c>
      <c r="K31" s="3" t="s">
        <v>19</v>
      </c>
    </row>
    <row r="32" spans="1:11" x14ac:dyDescent="0.25">
      <c r="A32" t="s">
        <v>3</v>
      </c>
      <c r="B32">
        <v>5.2</v>
      </c>
      <c r="D32" t="s">
        <v>3</v>
      </c>
      <c r="E32">
        <v>3.3</v>
      </c>
      <c r="G32" t="s">
        <v>3</v>
      </c>
      <c r="H32">
        <v>0.1</v>
      </c>
      <c r="J32" t="s">
        <v>3</v>
      </c>
      <c r="K32">
        <v>11.5</v>
      </c>
    </row>
    <row r="33" spans="1:11" x14ac:dyDescent="0.25">
      <c r="A33" t="s">
        <v>4</v>
      </c>
      <c r="B33" s="1">
        <v>32860</v>
      </c>
      <c r="D33" t="s">
        <v>4</v>
      </c>
      <c r="E33" s="1">
        <f>B33</f>
        <v>32860</v>
      </c>
      <c r="G33" t="s">
        <v>4</v>
      </c>
      <c r="H33" s="1">
        <f>B33</f>
        <v>32860</v>
      </c>
      <c r="J33" t="s">
        <v>4</v>
      </c>
      <c r="K33" s="1">
        <f>B33</f>
        <v>32860</v>
      </c>
    </row>
    <row r="34" spans="1:11" x14ac:dyDescent="0.25">
      <c r="A34" t="s">
        <v>5</v>
      </c>
      <c r="B34">
        <v>294</v>
      </c>
      <c r="D34" t="s">
        <v>5</v>
      </c>
      <c r="E34">
        <v>1131</v>
      </c>
      <c r="G34" t="s">
        <v>5</v>
      </c>
      <c r="H34">
        <v>503</v>
      </c>
      <c r="J34" t="s">
        <v>5</v>
      </c>
      <c r="K34">
        <v>478</v>
      </c>
    </row>
    <row r="35" spans="1:11" x14ac:dyDescent="0.25">
      <c r="A35" t="s">
        <v>2</v>
      </c>
      <c r="B35" s="2">
        <f>(B34)/(B33*(B32/100))*10</f>
        <v>1.720586169764502</v>
      </c>
      <c r="D35" t="s">
        <v>2</v>
      </c>
      <c r="E35" s="2">
        <f>(E34)/(E33*(E32/100))*10</f>
        <v>10.429923089691805</v>
      </c>
      <c r="G35" t="s">
        <v>2</v>
      </c>
      <c r="H35" s="31">
        <f>(H34)/(H33*(H32/100))*10</f>
        <v>153.07364576993305</v>
      </c>
      <c r="J35" t="s">
        <v>2</v>
      </c>
      <c r="K35" s="2">
        <f>(K34)/(K33*(K32/100))*10</f>
        <v>1.2649183624864377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workbookViewId="0">
      <selection activeCell="B11" sqref="B11"/>
    </sheetView>
  </sheetViews>
  <sheetFormatPr defaultRowHeight="15" x14ac:dyDescent="0.25"/>
  <cols>
    <col min="2" max="2" width="11.5703125" bestFit="1" customWidth="1"/>
    <col min="7" max="7" width="12" bestFit="1" customWidth="1"/>
  </cols>
  <sheetData>
    <row r="1" spans="1:11" x14ac:dyDescent="0.25">
      <c r="A1" s="3" t="s">
        <v>1</v>
      </c>
      <c r="B1" s="3" t="s">
        <v>21</v>
      </c>
      <c r="D1" s="3" t="s">
        <v>8</v>
      </c>
      <c r="E1" s="3" t="s">
        <v>21</v>
      </c>
      <c r="G1" s="3" t="s">
        <v>9</v>
      </c>
      <c r="H1" s="3" t="s">
        <v>21</v>
      </c>
      <c r="J1" s="3" t="s">
        <v>10</v>
      </c>
      <c r="K1" s="3" t="s">
        <v>21</v>
      </c>
    </row>
    <row r="2" spans="1:11" x14ac:dyDescent="0.25">
      <c r="A2" t="s">
        <v>3</v>
      </c>
      <c r="B2">
        <v>1.4</v>
      </c>
      <c r="D2" t="s">
        <v>3</v>
      </c>
      <c r="G2" t="s">
        <v>3</v>
      </c>
      <c r="J2" t="s">
        <v>3</v>
      </c>
    </row>
    <row r="3" spans="1:11" x14ac:dyDescent="0.25">
      <c r="A3" t="s">
        <v>4</v>
      </c>
      <c r="B3" s="1">
        <v>89663</v>
      </c>
      <c r="D3" t="s">
        <v>4</v>
      </c>
      <c r="E3" s="1">
        <f>B3</f>
        <v>89663</v>
      </c>
      <c r="G3" t="s">
        <v>4</v>
      </c>
      <c r="H3" s="1">
        <f>B3</f>
        <v>89663</v>
      </c>
      <c r="J3" t="s">
        <v>4</v>
      </c>
      <c r="K3" s="1">
        <f>B3</f>
        <v>89663</v>
      </c>
    </row>
    <row r="4" spans="1:11" x14ac:dyDescent="0.25">
      <c r="A4" t="s">
        <v>5</v>
      </c>
      <c r="B4">
        <v>441</v>
      </c>
      <c r="D4" t="s">
        <v>5</v>
      </c>
      <c r="G4" t="s">
        <v>5</v>
      </c>
      <c r="J4" t="s">
        <v>5</v>
      </c>
    </row>
    <row r="5" spans="1:11" x14ac:dyDescent="0.25">
      <c r="A5" t="s">
        <v>2</v>
      </c>
      <c r="B5" s="2">
        <f>(B4)/(B3*(B2/100))*10</f>
        <v>3.5131548130220942</v>
      </c>
      <c r="D5" t="s">
        <v>2</v>
      </c>
      <c r="E5" s="2" t="e">
        <f>(E4)/(E3*(E2/100))*10</f>
        <v>#DIV/0!</v>
      </c>
      <c r="G5" t="s">
        <v>2</v>
      </c>
      <c r="H5" s="2" t="e">
        <f>(H4)/(H3*(H2/100))*10</f>
        <v>#DIV/0!</v>
      </c>
      <c r="J5" t="s">
        <v>2</v>
      </c>
      <c r="K5" s="2" t="e">
        <f>(K4)/(K3*(K2/100))*10</f>
        <v>#DIV/0!</v>
      </c>
    </row>
    <row r="7" spans="1:11" x14ac:dyDescent="0.25">
      <c r="A7" s="3" t="s">
        <v>1</v>
      </c>
      <c r="B7" s="3" t="s">
        <v>22</v>
      </c>
      <c r="D7" s="3" t="s">
        <v>8</v>
      </c>
      <c r="E7" s="3" t="s">
        <v>22</v>
      </c>
      <c r="G7" s="3" t="s">
        <v>9</v>
      </c>
      <c r="H7" s="3" t="s">
        <v>22</v>
      </c>
      <c r="J7" s="3" t="s">
        <v>10</v>
      </c>
      <c r="K7" s="3" t="s">
        <v>22</v>
      </c>
    </row>
    <row r="8" spans="1:11" x14ac:dyDescent="0.25">
      <c r="A8" t="s">
        <v>3</v>
      </c>
      <c r="B8" s="13">
        <v>0.9</v>
      </c>
      <c r="D8" t="s">
        <v>3</v>
      </c>
      <c r="G8" t="s">
        <v>3</v>
      </c>
      <c r="J8" t="s">
        <v>3</v>
      </c>
    </row>
    <row r="9" spans="1:11" x14ac:dyDescent="0.25">
      <c r="A9" t="s">
        <v>4</v>
      </c>
      <c r="B9" s="1">
        <v>19227</v>
      </c>
      <c r="D9" t="s">
        <v>4</v>
      </c>
      <c r="E9" s="1">
        <f>B9</f>
        <v>19227</v>
      </c>
      <c r="G9" t="s">
        <v>4</v>
      </c>
      <c r="H9" s="1">
        <f>B9</f>
        <v>19227</v>
      </c>
      <c r="J9" t="s">
        <v>4</v>
      </c>
      <c r="K9" s="1">
        <f>B9</f>
        <v>19227</v>
      </c>
    </row>
    <row r="10" spans="1:11" x14ac:dyDescent="0.25">
      <c r="A10" t="s">
        <v>5</v>
      </c>
      <c r="B10">
        <v>91</v>
      </c>
      <c r="D10" t="s">
        <v>5</v>
      </c>
      <c r="G10" t="s">
        <v>5</v>
      </c>
      <c r="J10" t="s">
        <v>5</v>
      </c>
    </row>
    <row r="11" spans="1:11" x14ac:dyDescent="0.25">
      <c r="A11" t="s">
        <v>2</v>
      </c>
      <c r="B11" s="2">
        <f>(B10)/(B9*(B8/100))*10</f>
        <v>5.2588085042446098</v>
      </c>
      <c r="D11" t="s">
        <v>2</v>
      </c>
      <c r="E11" s="2" t="e">
        <f>(E10)/(E9*(E8/100))*10</f>
        <v>#DIV/0!</v>
      </c>
      <c r="G11" t="s">
        <v>2</v>
      </c>
      <c r="H11" s="2" t="e">
        <f>(H10)/(H9*(H8/100))*10</f>
        <v>#DIV/0!</v>
      </c>
      <c r="J11" t="s">
        <v>2</v>
      </c>
      <c r="K11" s="2" t="e">
        <f>(K10)/(K9*(K8/100))*10</f>
        <v>#DIV/0!</v>
      </c>
    </row>
    <row r="15" spans="1:11" x14ac:dyDescent="0.25">
      <c r="A15" t="s">
        <v>23</v>
      </c>
      <c r="B15" s="1">
        <v>207853</v>
      </c>
    </row>
    <row r="16" spans="1:11" x14ac:dyDescent="0.25">
      <c r="A16" t="s">
        <v>22</v>
      </c>
      <c r="B16" s="12">
        <v>924</v>
      </c>
      <c r="C16" s="12"/>
    </row>
    <row r="17" spans="2:2" x14ac:dyDescent="0.25">
      <c r="B17" s="13">
        <f>(B16/B15)*100</f>
        <v>0.44454494282016616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"/>
  <sheetViews>
    <sheetView topLeftCell="A7" workbookViewId="0">
      <selection activeCell="A10" sqref="A10"/>
    </sheetView>
  </sheetViews>
  <sheetFormatPr defaultColWidth="14.85546875" defaultRowHeight="15" x14ac:dyDescent="0.25"/>
  <cols>
    <col min="2" max="2" width="5" bestFit="1" customWidth="1"/>
  </cols>
  <sheetData>
    <row r="1" spans="1:13" ht="15" customHeight="1" x14ac:dyDescent="0.25">
      <c r="A1" s="78" t="s">
        <v>28</v>
      </c>
      <c r="B1" s="14"/>
      <c r="C1" s="15"/>
      <c r="D1" s="79" t="s">
        <v>35</v>
      </c>
      <c r="E1" s="79"/>
      <c r="F1" s="79"/>
      <c r="G1" s="15"/>
      <c r="H1" s="15"/>
    </row>
    <row r="2" spans="1:13" x14ac:dyDescent="0.25">
      <c r="A2" s="78"/>
      <c r="B2" s="14"/>
      <c r="C2" s="15"/>
      <c r="D2" s="79"/>
      <c r="E2" s="79"/>
      <c r="F2" s="79"/>
      <c r="G2" s="15"/>
      <c r="H2" s="15"/>
      <c r="I2" s="76" t="s">
        <v>83</v>
      </c>
      <c r="J2" s="76"/>
      <c r="K2" s="76"/>
      <c r="L2" s="76"/>
      <c r="M2" s="76"/>
    </row>
    <row r="3" spans="1:13" x14ac:dyDescent="0.25">
      <c r="A3" s="78"/>
      <c r="B3" s="20"/>
      <c r="C3" s="17" t="s">
        <v>24</v>
      </c>
      <c r="D3" s="17" t="s">
        <v>31</v>
      </c>
      <c r="E3" s="17" t="s">
        <v>32</v>
      </c>
      <c r="F3" s="17" t="s">
        <v>34</v>
      </c>
      <c r="G3" s="17" t="s">
        <v>33</v>
      </c>
      <c r="H3" s="17" t="s">
        <v>0</v>
      </c>
      <c r="I3" s="76"/>
      <c r="J3" s="76"/>
      <c r="K3" s="76"/>
      <c r="L3" s="76"/>
      <c r="M3" s="76"/>
    </row>
    <row r="4" spans="1:13" x14ac:dyDescent="0.25">
      <c r="A4" s="15" t="s">
        <v>26</v>
      </c>
      <c r="B4" s="16" t="s">
        <v>30</v>
      </c>
      <c r="C4" s="16">
        <v>1397</v>
      </c>
      <c r="D4" s="16">
        <v>2005</v>
      </c>
      <c r="E4" s="16">
        <v>865</v>
      </c>
      <c r="F4" s="16">
        <v>463</v>
      </c>
      <c r="G4" s="16">
        <v>78</v>
      </c>
      <c r="H4" s="16">
        <v>4808</v>
      </c>
      <c r="I4" s="76"/>
      <c r="J4" s="76"/>
      <c r="K4" s="76"/>
      <c r="L4" s="76"/>
      <c r="M4" s="76"/>
    </row>
    <row r="5" spans="1:13" x14ac:dyDescent="0.25">
      <c r="A5" s="15"/>
      <c r="B5" s="18" t="s">
        <v>29</v>
      </c>
      <c r="C5" s="19">
        <v>29.06</v>
      </c>
      <c r="D5" s="19">
        <v>41.7</v>
      </c>
      <c r="E5" s="19">
        <v>17.989999999999998</v>
      </c>
      <c r="F5" s="19">
        <v>9.6300000000000008</v>
      </c>
      <c r="G5" s="19">
        <v>1.62</v>
      </c>
      <c r="H5" s="19">
        <v>100</v>
      </c>
    </row>
    <row r="6" spans="1:13" x14ac:dyDescent="0.25">
      <c r="A6" s="15" t="s">
        <v>8</v>
      </c>
      <c r="B6" s="16" t="s">
        <v>30</v>
      </c>
      <c r="C6" s="16">
        <v>1416</v>
      </c>
      <c r="D6" s="16">
        <v>474</v>
      </c>
      <c r="E6" s="16">
        <v>394</v>
      </c>
      <c r="F6" s="16">
        <v>322</v>
      </c>
      <c r="G6" s="16">
        <v>39</v>
      </c>
      <c r="H6" s="16">
        <v>2645</v>
      </c>
    </row>
    <row r="7" spans="1:13" x14ac:dyDescent="0.25">
      <c r="A7" s="15"/>
      <c r="B7" s="18" t="s">
        <v>29</v>
      </c>
      <c r="C7" s="19">
        <v>53.53</v>
      </c>
      <c r="D7" s="19">
        <v>17.920000000000002</v>
      </c>
      <c r="E7" s="19">
        <v>14.9</v>
      </c>
      <c r="F7" s="19">
        <v>12.17</v>
      </c>
      <c r="G7" s="19">
        <v>1.47</v>
      </c>
      <c r="H7" s="19">
        <v>100</v>
      </c>
    </row>
    <row r="8" spans="1:13" x14ac:dyDescent="0.25">
      <c r="A8" s="15" t="s">
        <v>27</v>
      </c>
      <c r="B8" s="16" t="s">
        <v>30</v>
      </c>
      <c r="C8" s="16">
        <v>668</v>
      </c>
      <c r="D8" s="16">
        <v>134</v>
      </c>
      <c r="E8" s="16">
        <v>133</v>
      </c>
      <c r="F8" s="16">
        <v>139</v>
      </c>
      <c r="G8" s="16">
        <v>19</v>
      </c>
      <c r="H8" s="16">
        <v>1093</v>
      </c>
    </row>
    <row r="9" spans="1:13" x14ac:dyDescent="0.25">
      <c r="A9" s="15"/>
      <c r="B9" s="18" t="s">
        <v>29</v>
      </c>
      <c r="C9" s="19">
        <v>61.12</v>
      </c>
      <c r="D9" s="19">
        <v>12.26</v>
      </c>
      <c r="E9" s="19">
        <v>12.17</v>
      </c>
      <c r="F9" s="19">
        <v>12.72</v>
      </c>
      <c r="G9" s="19">
        <v>1.74</v>
      </c>
      <c r="H9" s="19">
        <v>100</v>
      </c>
    </row>
    <row r="10" spans="1:13" x14ac:dyDescent="0.25">
      <c r="A10" s="15" t="s">
        <v>10</v>
      </c>
      <c r="B10" s="16" t="s">
        <v>30</v>
      </c>
      <c r="C10" s="16">
        <v>399</v>
      </c>
      <c r="D10" s="16">
        <v>176</v>
      </c>
      <c r="E10" s="16">
        <v>149</v>
      </c>
      <c r="F10" s="16">
        <v>114</v>
      </c>
      <c r="G10" s="16">
        <v>12</v>
      </c>
      <c r="H10" s="16">
        <v>850</v>
      </c>
    </row>
    <row r="11" spans="1:13" x14ac:dyDescent="0.25">
      <c r="A11" s="15"/>
      <c r="B11" s="18" t="s">
        <v>29</v>
      </c>
      <c r="C11" s="19">
        <v>46.94</v>
      </c>
      <c r="D11" s="19">
        <v>20.71</v>
      </c>
      <c r="E11" s="19">
        <v>17.53</v>
      </c>
      <c r="F11" s="19">
        <v>13.41</v>
      </c>
      <c r="G11" s="19">
        <v>1.41</v>
      </c>
      <c r="H11" s="19">
        <v>100</v>
      </c>
    </row>
    <row r="12" spans="1:13" x14ac:dyDescent="0.25">
      <c r="A12" s="15" t="s">
        <v>1</v>
      </c>
      <c r="B12" s="16" t="s">
        <v>30</v>
      </c>
      <c r="C12" s="16">
        <v>281</v>
      </c>
      <c r="D12" s="16">
        <v>138</v>
      </c>
      <c r="E12" s="16">
        <v>142</v>
      </c>
      <c r="F12" s="16">
        <v>70</v>
      </c>
      <c r="G12" s="16">
        <v>22</v>
      </c>
      <c r="H12" s="16">
        <v>653</v>
      </c>
    </row>
    <row r="13" spans="1:13" x14ac:dyDescent="0.25">
      <c r="A13" s="15"/>
      <c r="B13" s="18" t="s">
        <v>29</v>
      </c>
      <c r="C13" s="19">
        <v>43.03</v>
      </c>
      <c r="D13" s="19">
        <v>21.13</v>
      </c>
      <c r="E13" s="19">
        <v>21.75</v>
      </c>
      <c r="F13" s="19">
        <v>10.72</v>
      </c>
      <c r="G13" s="19">
        <v>3.37</v>
      </c>
      <c r="H13" s="19">
        <v>100</v>
      </c>
    </row>
    <row r="14" spans="1:13" x14ac:dyDescent="0.25">
      <c r="A14" s="15" t="s">
        <v>0</v>
      </c>
      <c r="B14" s="16" t="s">
        <v>30</v>
      </c>
      <c r="C14" s="16">
        <v>4161</v>
      </c>
      <c r="D14" s="16">
        <v>2927</v>
      </c>
      <c r="E14" s="16">
        <v>1683</v>
      </c>
      <c r="F14" s="16">
        <v>1108</v>
      </c>
      <c r="G14" s="16">
        <v>170</v>
      </c>
      <c r="H14" s="16">
        <v>10049</v>
      </c>
    </row>
    <row r="15" spans="1:13" x14ac:dyDescent="0.25">
      <c r="A15" s="15"/>
      <c r="B15" s="17" t="s">
        <v>29</v>
      </c>
      <c r="C15" s="21">
        <v>41.41</v>
      </c>
      <c r="D15" s="21">
        <v>29.13</v>
      </c>
      <c r="E15" s="21">
        <v>16.75</v>
      </c>
      <c r="F15" s="21">
        <v>11.03</v>
      </c>
      <c r="G15" s="21">
        <v>1.69</v>
      </c>
      <c r="H15" s="17">
        <v>100</v>
      </c>
    </row>
    <row r="18" spans="1:8" x14ac:dyDescent="0.25">
      <c r="A18" s="3" t="s">
        <v>37</v>
      </c>
    </row>
    <row r="19" spans="1:8" x14ac:dyDescent="0.25">
      <c r="A19" s="78" t="s">
        <v>28</v>
      </c>
      <c r="B19" s="14"/>
      <c r="C19" s="15"/>
      <c r="D19" s="79" t="s">
        <v>36</v>
      </c>
      <c r="E19" s="79"/>
      <c r="F19" s="79"/>
      <c r="G19" s="15"/>
      <c r="H19" s="15"/>
    </row>
    <row r="20" spans="1:8" x14ac:dyDescent="0.25">
      <c r="A20" s="78"/>
      <c r="B20" s="14"/>
      <c r="C20" s="15"/>
      <c r="D20" s="79"/>
      <c r="E20" s="79"/>
      <c r="F20" s="79"/>
      <c r="G20" s="15"/>
      <c r="H20" s="15"/>
    </row>
    <row r="21" spans="1:8" x14ac:dyDescent="0.25">
      <c r="A21" s="78"/>
      <c r="B21" s="20"/>
      <c r="C21" s="17" t="s">
        <v>24</v>
      </c>
      <c r="D21" s="17" t="s">
        <v>31</v>
      </c>
      <c r="E21" s="17" t="s">
        <v>32</v>
      </c>
      <c r="F21" s="17" t="s">
        <v>34</v>
      </c>
      <c r="G21" s="17" t="s">
        <v>33</v>
      </c>
      <c r="H21" s="17" t="s">
        <v>0</v>
      </c>
    </row>
    <row r="22" spans="1:8" x14ac:dyDescent="0.25">
      <c r="A22" s="15" t="s">
        <v>26</v>
      </c>
      <c r="B22" s="16" t="s">
        <v>30</v>
      </c>
      <c r="C22" s="16">
        <v>918</v>
      </c>
      <c r="D22" s="16">
        <v>1305</v>
      </c>
      <c r="E22" s="16">
        <v>573</v>
      </c>
      <c r="F22" s="16">
        <v>305</v>
      </c>
      <c r="G22" s="16">
        <v>40</v>
      </c>
      <c r="H22" s="16">
        <v>3141</v>
      </c>
    </row>
    <row r="23" spans="1:8" x14ac:dyDescent="0.25">
      <c r="A23" s="15"/>
      <c r="B23" s="18" t="s">
        <v>29</v>
      </c>
      <c r="C23" s="19">
        <v>29.23</v>
      </c>
      <c r="D23" s="19">
        <v>41.55</v>
      </c>
      <c r="E23" s="19">
        <v>18.239999999999998</v>
      </c>
      <c r="F23" s="19">
        <v>9.7100000000000009</v>
      </c>
      <c r="G23" s="19">
        <v>1.27</v>
      </c>
      <c r="H23" s="19">
        <v>100</v>
      </c>
    </row>
    <row r="24" spans="1:8" x14ac:dyDescent="0.25">
      <c r="A24" s="15" t="s">
        <v>8</v>
      </c>
      <c r="B24" s="16" t="s">
        <v>30</v>
      </c>
      <c r="C24" s="16">
        <v>942</v>
      </c>
      <c r="D24" s="16">
        <v>256</v>
      </c>
      <c r="E24" s="16">
        <v>194</v>
      </c>
      <c r="F24" s="16">
        <v>193</v>
      </c>
      <c r="G24" s="16">
        <v>14</v>
      </c>
      <c r="H24" s="16">
        <v>1599</v>
      </c>
    </row>
    <row r="25" spans="1:8" x14ac:dyDescent="0.25">
      <c r="A25" s="15"/>
      <c r="B25" s="18" t="s">
        <v>29</v>
      </c>
      <c r="C25" s="19">
        <v>58.91</v>
      </c>
      <c r="D25" s="19">
        <v>16.010000000000002</v>
      </c>
      <c r="E25" s="19">
        <v>12.13</v>
      </c>
      <c r="F25" s="19">
        <v>12.07</v>
      </c>
      <c r="G25" s="19">
        <v>0.88</v>
      </c>
      <c r="H25" s="19">
        <v>100</v>
      </c>
    </row>
    <row r="26" spans="1:8" x14ac:dyDescent="0.25">
      <c r="A26" s="15" t="s">
        <v>27</v>
      </c>
      <c r="B26" s="16" t="s">
        <v>30</v>
      </c>
      <c r="C26" s="16">
        <v>424</v>
      </c>
      <c r="D26" s="16">
        <v>73</v>
      </c>
      <c r="E26" s="16">
        <v>78</v>
      </c>
      <c r="F26" s="16">
        <v>92</v>
      </c>
      <c r="G26" s="16">
        <v>10</v>
      </c>
      <c r="H26" s="16">
        <v>677</v>
      </c>
    </row>
    <row r="27" spans="1:8" x14ac:dyDescent="0.25">
      <c r="A27" s="15"/>
      <c r="B27" s="18" t="s">
        <v>29</v>
      </c>
      <c r="C27" s="19">
        <v>62.63</v>
      </c>
      <c r="D27" s="19">
        <v>10.78</v>
      </c>
      <c r="E27" s="19">
        <v>11.52</v>
      </c>
      <c r="F27" s="19">
        <v>13.59</v>
      </c>
      <c r="G27" s="19">
        <v>1.48</v>
      </c>
      <c r="H27" s="19">
        <v>100</v>
      </c>
    </row>
    <row r="28" spans="1:8" x14ac:dyDescent="0.25">
      <c r="A28" s="15" t="s">
        <v>10</v>
      </c>
      <c r="B28" s="16" t="s">
        <v>30</v>
      </c>
      <c r="C28" s="16">
        <v>260</v>
      </c>
      <c r="D28" s="16">
        <v>112</v>
      </c>
      <c r="E28" s="16">
        <v>79</v>
      </c>
      <c r="F28" s="16">
        <v>67</v>
      </c>
      <c r="G28" s="16">
        <v>4</v>
      </c>
      <c r="H28" s="16">
        <v>522</v>
      </c>
    </row>
    <row r="29" spans="1:8" x14ac:dyDescent="0.25">
      <c r="A29" s="15"/>
      <c r="B29" s="18" t="s">
        <v>29</v>
      </c>
      <c r="C29" s="19">
        <v>49.81</v>
      </c>
      <c r="D29" s="19">
        <v>21.46</v>
      </c>
      <c r="E29" s="19">
        <v>15.13</v>
      </c>
      <c r="F29" s="19">
        <v>12.84</v>
      </c>
      <c r="G29" s="19">
        <v>0.77</v>
      </c>
      <c r="H29" s="19">
        <v>100</v>
      </c>
    </row>
    <row r="30" spans="1:8" x14ac:dyDescent="0.25">
      <c r="A30" s="15" t="s">
        <v>1</v>
      </c>
      <c r="B30" s="16" t="s">
        <v>30</v>
      </c>
      <c r="C30" s="16">
        <v>205</v>
      </c>
      <c r="D30" s="16">
        <v>87</v>
      </c>
      <c r="E30" s="16">
        <v>93</v>
      </c>
      <c r="F30" s="16">
        <v>47</v>
      </c>
      <c r="G30" s="16">
        <v>11</v>
      </c>
      <c r="H30" s="16">
        <v>443</v>
      </c>
    </row>
    <row r="31" spans="1:8" x14ac:dyDescent="0.25">
      <c r="A31" s="15"/>
      <c r="B31" s="18" t="s">
        <v>29</v>
      </c>
      <c r="C31" s="19">
        <v>46.28</v>
      </c>
      <c r="D31" s="19">
        <v>19.64</v>
      </c>
      <c r="E31" s="19">
        <v>20.99</v>
      </c>
      <c r="F31" s="19">
        <v>10.61</v>
      </c>
      <c r="G31" s="19">
        <v>2.48</v>
      </c>
      <c r="H31" s="19">
        <v>100</v>
      </c>
    </row>
    <row r="32" spans="1:8" x14ac:dyDescent="0.25">
      <c r="A32" s="15" t="s">
        <v>0</v>
      </c>
      <c r="B32" s="16" t="s">
        <v>30</v>
      </c>
      <c r="C32" s="16">
        <v>2749</v>
      </c>
      <c r="D32" s="16">
        <v>1833</v>
      </c>
      <c r="E32" s="16">
        <v>1017</v>
      </c>
      <c r="F32" s="16">
        <v>704</v>
      </c>
      <c r="G32" s="16">
        <v>79</v>
      </c>
      <c r="H32" s="16">
        <v>6382</v>
      </c>
    </row>
    <row r="33" spans="1:8" x14ac:dyDescent="0.25">
      <c r="A33" s="15"/>
      <c r="B33" s="17" t="s">
        <v>29</v>
      </c>
      <c r="C33" s="21">
        <v>43.07</v>
      </c>
      <c r="D33" s="21">
        <v>28.72</v>
      </c>
      <c r="E33" s="21">
        <v>15.94</v>
      </c>
      <c r="F33" s="21">
        <v>11.03</v>
      </c>
      <c r="G33" s="21">
        <v>1.24</v>
      </c>
      <c r="H33" s="17">
        <v>100</v>
      </c>
    </row>
    <row r="37" spans="1:8" x14ac:dyDescent="0.25">
      <c r="A37" s="3" t="s">
        <v>38</v>
      </c>
    </row>
    <row r="38" spans="1:8" x14ac:dyDescent="0.25">
      <c r="A38" s="78" t="s">
        <v>28</v>
      </c>
      <c r="B38" s="14"/>
      <c r="C38" s="15"/>
      <c r="D38" s="79" t="s">
        <v>39</v>
      </c>
      <c r="E38" s="79"/>
      <c r="F38" s="79"/>
      <c r="G38" s="15"/>
      <c r="H38" s="15"/>
    </row>
    <row r="39" spans="1:8" x14ac:dyDescent="0.25">
      <c r="A39" s="78"/>
      <c r="B39" s="14"/>
      <c r="C39" s="15"/>
      <c r="D39" s="79"/>
      <c r="E39" s="79"/>
      <c r="F39" s="79"/>
      <c r="G39" s="15"/>
      <c r="H39" s="15"/>
    </row>
    <row r="40" spans="1:8" x14ac:dyDescent="0.25">
      <c r="A40" s="78"/>
      <c r="B40" s="20"/>
      <c r="C40" s="17" t="s">
        <v>24</v>
      </c>
      <c r="D40" s="17" t="s">
        <v>31</v>
      </c>
      <c r="E40" s="17" t="s">
        <v>32</v>
      </c>
      <c r="F40" s="17" t="s">
        <v>34</v>
      </c>
      <c r="G40" s="17" t="s">
        <v>33</v>
      </c>
      <c r="H40" s="17" t="s">
        <v>0</v>
      </c>
    </row>
    <row r="41" spans="1:8" x14ac:dyDescent="0.25">
      <c r="A41" s="15" t="s">
        <v>26</v>
      </c>
      <c r="B41" s="16"/>
      <c r="C41" s="16">
        <v>479</v>
      </c>
      <c r="D41" s="16">
        <v>700</v>
      </c>
      <c r="E41" s="16">
        <v>292</v>
      </c>
      <c r="F41" s="16">
        <v>158</v>
      </c>
      <c r="G41" s="16">
        <v>38</v>
      </c>
      <c r="H41" s="16">
        <v>1667</v>
      </c>
    </row>
    <row r="42" spans="1:8" x14ac:dyDescent="0.25">
      <c r="A42" s="15"/>
      <c r="B42" s="18"/>
      <c r="C42" s="19">
        <v>28.73</v>
      </c>
      <c r="D42" s="19">
        <v>41.99</v>
      </c>
      <c r="E42" s="19">
        <v>17.52</v>
      </c>
      <c r="F42" s="19">
        <v>9.48</v>
      </c>
      <c r="G42" s="19">
        <v>2.2799999999999998</v>
      </c>
      <c r="H42" s="19">
        <v>100</v>
      </c>
    </row>
    <row r="43" spans="1:8" x14ac:dyDescent="0.25">
      <c r="A43" s="15" t="s">
        <v>8</v>
      </c>
      <c r="B43" s="16"/>
      <c r="C43" s="16">
        <v>474</v>
      </c>
      <c r="D43" s="16">
        <v>218</v>
      </c>
      <c r="E43" s="16">
        <v>200</v>
      </c>
      <c r="F43" s="16">
        <v>129</v>
      </c>
      <c r="G43" s="16">
        <v>25</v>
      </c>
      <c r="H43" s="16">
        <v>1046</v>
      </c>
    </row>
    <row r="44" spans="1:8" x14ac:dyDescent="0.25">
      <c r="A44" s="15"/>
      <c r="B44" s="18"/>
      <c r="C44" s="19">
        <v>45.32</v>
      </c>
      <c r="D44" s="19">
        <v>20.84</v>
      </c>
      <c r="E44" s="19">
        <v>19.12</v>
      </c>
      <c r="F44" s="19">
        <v>12.33</v>
      </c>
      <c r="G44" s="19">
        <v>2.39</v>
      </c>
      <c r="H44" s="19">
        <v>100</v>
      </c>
    </row>
    <row r="45" spans="1:8" x14ac:dyDescent="0.25">
      <c r="A45" s="15" t="s">
        <v>27</v>
      </c>
      <c r="B45" s="16"/>
      <c r="C45" s="16">
        <v>244</v>
      </c>
      <c r="D45" s="16">
        <v>61</v>
      </c>
      <c r="E45" s="16">
        <v>55</v>
      </c>
      <c r="F45" s="16">
        <v>47</v>
      </c>
      <c r="G45" s="16">
        <v>9</v>
      </c>
      <c r="H45" s="16">
        <v>416</v>
      </c>
    </row>
    <row r="46" spans="1:8" x14ac:dyDescent="0.25">
      <c r="A46" s="15"/>
      <c r="B46" s="18"/>
      <c r="C46" s="19">
        <v>58.65</v>
      </c>
      <c r="D46" s="19">
        <v>14.66</v>
      </c>
      <c r="E46" s="19">
        <v>13.22</v>
      </c>
      <c r="F46" s="19">
        <v>11.3</v>
      </c>
      <c r="G46" s="19">
        <v>2.16</v>
      </c>
      <c r="H46" s="19">
        <v>100</v>
      </c>
    </row>
    <row r="47" spans="1:8" x14ac:dyDescent="0.25">
      <c r="A47" s="15" t="s">
        <v>10</v>
      </c>
      <c r="B47" s="16"/>
      <c r="C47" s="16">
        <v>139</v>
      </c>
      <c r="D47" s="16">
        <v>64</v>
      </c>
      <c r="E47" s="16">
        <v>70</v>
      </c>
      <c r="F47" s="16">
        <v>47</v>
      </c>
      <c r="G47" s="16">
        <v>8</v>
      </c>
      <c r="H47" s="16">
        <v>328</v>
      </c>
    </row>
    <row r="48" spans="1:8" x14ac:dyDescent="0.25">
      <c r="A48" s="15"/>
      <c r="B48" s="18"/>
      <c r="C48" s="19">
        <v>42.38</v>
      </c>
      <c r="D48" s="19">
        <v>19.510000000000002</v>
      </c>
      <c r="E48" s="19">
        <v>21.34</v>
      </c>
      <c r="F48" s="19">
        <v>14.33</v>
      </c>
      <c r="G48" s="19">
        <v>2.44</v>
      </c>
      <c r="H48" s="19">
        <v>100</v>
      </c>
    </row>
    <row r="49" spans="1:8" x14ac:dyDescent="0.25">
      <c r="A49" s="15" t="s">
        <v>1</v>
      </c>
      <c r="B49" s="16"/>
      <c r="C49" s="16">
        <v>76</v>
      </c>
      <c r="D49" s="16">
        <v>51</v>
      </c>
      <c r="E49" s="16">
        <v>49</v>
      </c>
      <c r="F49" s="16">
        <v>23</v>
      </c>
      <c r="G49" s="16">
        <v>11</v>
      </c>
      <c r="H49" s="16">
        <v>210</v>
      </c>
    </row>
    <row r="50" spans="1:8" x14ac:dyDescent="0.25">
      <c r="A50" s="15"/>
      <c r="B50" s="18"/>
      <c r="C50" s="19">
        <v>36.19</v>
      </c>
      <c r="D50" s="19">
        <v>24.29</v>
      </c>
      <c r="E50" s="19">
        <v>23.33</v>
      </c>
      <c r="F50" s="19">
        <v>10.95</v>
      </c>
      <c r="G50" s="19">
        <v>5.24</v>
      </c>
      <c r="H50" s="19">
        <v>100</v>
      </c>
    </row>
    <row r="51" spans="1:8" x14ac:dyDescent="0.25">
      <c r="A51" s="15" t="s">
        <v>0</v>
      </c>
      <c r="B51" s="16"/>
      <c r="C51" s="16">
        <v>1412</v>
      </c>
      <c r="D51" s="16">
        <v>1094</v>
      </c>
      <c r="E51" s="16">
        <v>666</v>
      </c>
      <c r="F51" s="16">
        <v>404</v>
      </c>
      <c r="G51" s="16">
        <v>91</v>
      </c>
      <c r="H51" s="16">
        <v>3667</v>
      </c>
    </row>
    <row r="52" spans="1:8" x14ac:dyDescent="0.25">
      <c r="A52" s="15"/>
      <c r="B52" s="17"/>
      <c r="C52" s="21">
        <v>38.51</v>
      </c>
      <c r="D52" s="21">
        <v>29.83</v>
      </c>
      <c r="E52" s="21">
        <v>18.16</v>
      </c>
      <c r="F52" s="21">
        <v>11.02</v>
      </c>
      <c r="G52" s="21">
        <v>2.48</v>
      </c>
      <c r="H52" s="17">
        <v>100</v>
      </c>
    </row>
  </sheetData>
  <mergeCells count="7">
    <mergeCell ref="I2:M4"/>
    <mergeCell ref="A38:A40"/>
    <mergeCell ref="D38:F39"/>
    <mergeCell ref="D1:F2"/>
    <mergeCell ref="A1:A3"/>
    <mergeCell ref="A19:A21"/>
    <mergeCell ref="D19:F2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8"/>
  <sheetViews>
    <sheetView zoomScale="85" zoomScaleNormal="85" workbookViewId="0">
      <selection activeCell="K30" sqref="K30:N38"/>
    </sheetView>
  </sheetViews>
  <sheetFormatPr defaultColWidth="14.85546875" defaultRowHeight="15" x14ac:dyDescent="0.25"/>
  <cols>
    <col min="1" max="1" width="16" customWidth="1"/>
    <col min="2" max="2" width="5" bestFit="1" customWidth="1"/>
    <col min="3" max="5" width="11.28515625" customWidth="1"/>
    <col min="6" max="6" width="12.85546875" bestFit="1" customWidth="1"/>
    <col min="7" max="7" width="11.28515625" customWidth="1"/>
  </cols>
  <sheetData>
    <row r="1" spans="1:12" ht="13.5" customHeight="1" x14ac:dyDescent="0.25">
      <c r="A1" s="78" t="s">
        <v>28</v>
      </c>
      <c r="B1" s="14"/>
      <c r="C1" s="15"/>
      <c r="D1" s="79" t="s">
        <v>35</v>
      </c>
      <c r="E1" s="79"/>
      <c r="F1" s="79"/>
      <c r="G1" s="15"/>
    </row>
    <row r="2" spans="1:12" x14ac:dyDescent="0.25">
      <c r="A2" s="78"/>
      <c r="B2" s="14"/>
      <c r="C2" s="15"/>
      <c r="D2" s="79"/>
      <c r="E2" s="79"/>
      <c r="F2" s="79"/>
      <c r="G2" s="15"/>
      <c r="H2" s="77" t="s">
        <v>84</v>
      </c>
      <c r="I2" s="77"/>
      <c r="J2" s="77"/>
      <c r="K2" s="77"/>
      <c r="L2" s="77"/>
    </row>
    <row r="3" spans="1:12" ht="13.5" customHeight="1" x14ac:dyDescent="0.25">
      <c r="A3" s="78"/>
      <c r="B3" s="20"/>
      <c r="C3" s="17" t="s">
        <v>24</v>
      </c>
      <c r="D3" s="17" t="s">
        <v>32</v>
      </c>
      <c r="E3" s="17" t="s">
        <v>34</v>
      </c>
      <c r="F3" s="17" t="s">
        <v>33</v>
      </c>
      <c r="G3" s="17" t="s">
        <v>0</v>
      </c>
      <c r="H3" s="77"/>
      <c r="I3" s="77"/>
      <c r="J3" s="77"/>
      <c r="K3" s="77"/>
      <c r="L3" s="77"/>
    </row>
    <row r="4" spans="1:12" ht="13.5" customHeight="1" x14ac:dyDescent="0.25">
      <c r="A4" s="67" t="s">
        <v>103</v>
      </c>
      <c r="B4" s="16" t="s">
        <v>30</v>
      </c>
      <c r="C4" s="16">
        <v>5259</v>
      </c>
      <c r="D4" s="16">
        <v>2550</v>
      </c>
      <c r="E4" s="16">
        <v>1544</v>
      </c>
      <c r="F4" s="16">
        <v>376</v>
      </c>
      <c r="G4" s="16">
        <f>SUM(C4:F4)</f>
        <v>9729</v>
      </c>
      <c r="H4" s="77"/>
      <c r="I4" s="77"/>
      <c r="J4" s="77"/>
      <c r="K4" s="77"/>
      <c r="L4" s="77"/>
    </row>
    <row r="5" spans="1:12" ht="13.5" customHeight="1" x14ac:dyDescent="0.25">
      <c r="A5" s="66"/>
      <c r="B5" s="18" t="s">
        <v>29</v>
      </c>
      <c r="C5" s="19">
        <f>(C4/$G$4)*100</f>
        <v>54.054887449892078</v>
      </c>
      <c r="D5" s="19">
        <f t="shared" ref="D5:F5" si="0">(D4/$G$4)*100</f>
        <v>26.210299105766268</v>
      </c>
      <c r="E5" s="19">
        <f t="shared" si="0"/>
        <v>15.87007914482475</v>
      </c>
      <c r="F5" s="19">
        <f t="shared" si="0"/>
        <v>3.8647342995169081</v>
      </c>
      <c r="G5" s="19">
        <v>100</v>
      </c>
      <c r="H5" s="77"/>
      <c r="I5" s="77"/>
      <c r="J5" s="77"/>
      <c r="K5" s="77"/>
      <c r="L5" s="77"/>
    </row>
    <row r="6" spans="1:12" ht="13.5" customHeight="1" x14ac:dyDescent="0.25">
      <c r="A6" s="15" t="s">
        <v>27</v>
      </c>
      <c r="B6" s="16" t="s">
        <v>30</v>
      </c>
      <c r="C6" s="16">
        <v>1870</v>
      </c>
      <c r="D6" s="16">
        <v>636</v>
      </c>
      <c r="E6" s="16">
        <v>552</v>
      </c>
      <c r="F6" s="16">
        <v>101</v>
      </c>
      <c r="G6" s="16">
        <f>SUM(C6:F6)</f>
        <v>3159</v>
      </c>
      <c r="H6" s="77"/>
      <c r="I6" s="77"/>
      <c r="J6" s="77"/>
      <c r="K6" s="77"/>
      <c r="L6" s="77"/>
    </row>
    <row r="7" spans="1:12" ht="13.5" customHeight="1" x14ac:dyDescent="0.25">
      <c r="A7" s="15"/>
      <c r="B7" s="18" t="s">
        <v>29</v>
      </c>
      <c r="C7" s="19">
        <f>(C6/$G$6)*100</f>
        <v>59.195948084836971</v>
      </c>
      <c r="D7" s="19">
        <f t="shared" ref="D7:F7" si="1">(D6/$G$6)*100</f>
        <v>20.1329534662868</v>
      </c>
      <c r="E7" s="19">
        <f t="shared" si="1"/>
        <v>17.473884140550808</v>
      </c>
      <c r="F7" s="19">
        <f t="shared" si="1"/>
        <v>3.1972143083254196</v>
      </c>
      <c r="G7" s="19">
        <v>100</v>
      </c>
    </row>
    <row r="8" spans="1:12" ht="13.5" customHeight="1" x14ac:dyDescent="0.25">
      <c r="A8" s="15" t="s">
        <v>8</v>
      </c>
      <c r="B8" s="16" t="s">
        <v>30</v>
      </c>
      <c r="C8" s="16">
        <v>1909</v>
      </c>
      <c r="D8" s="16">
        <v>504</v>
      </c>
      <c r="E8" s="16">
        <v>437</v>
      </c>
      <c r="F8" s="16">
        <v>42</v>
      </c>
      <c r="G8" s="16">
        <f>SUM(C8:F8)</f>
        <v>2892</v>
      </c>
    </row>
    <row r="9" spans="1:12" ht="13.5" customHeight="1" x14ac:dyDescent="0.25">
      <c r="A9" s="15"/>
      <c r="B9" s="18" t="s">
        <v>29</v>
      </c>
      <c r="C9" s="19">
        <f>(C8/$G$8)*100</f>
        <v>66.009681881051179</v>
      </c>
      <c r="D9" s="19">
        <f t="shared" ref="D9:F9" si="2">(D8/$G$8)*100</f>
        <v>17.427385892116181</v>
      </c>
      <c r="E9" s="19">
        <f t="shared" si="2"/>
        <v>15.110650069156293</v>
      </c>
      <c r="F9" s="19">
        <f t="shared" si="2"/>
        <v>1.4522821576763485</v>
      </c>
      <c r="G9" s="19">
        <v>100</v>
      </c>
    </row>
    <row r="10" spans="1:12" ht="13.5" customHeight="1" x14ac:dyDescent="0.25">
      <c r="A10" s="15" t="s">
        <v>26</v>
      </c>
      <c r="B10" s="16" t="s">
        <v>30</v>
      </c>
      <c r="C10" s="16">
        <v>1350</v>
      </c>
      <c r="D10" s="16">
        <v>755</v>
      </c>
      <c r="E10" s="16">
        <v>401</v>
      </c>
      <c r="F10" s="16">
        <v>75</v>
      </c>
      <c r="G10" s="16">
        <v>2581</v>
      </c>
    </row>
    <row r="11" spans="1:12" ht="13.5" customHeight="1" x14ac:dyDescent="0.25">
      <c r="A11" s="15"/>
      <c r="B11" s="18" t="s">
        <v>29</v>
      </c>
      <c r="C11" s="19">
        <f>(C10/$G$10)*100</f>
        <v>52.305308020147237</v>
      </c>
      <c r="D11" s="19">
        <f t="shared" ref="D11:F11" si="3">(D10/$G$10)*100</f>
        <v>29.252227818674932</v>
      </c>
      <c r="E11" s="19">
        <f t="shared" si="3"/>
        <v>15.536613715614104</v>
      </c>
      <c r="F11" s="19">
        <f t="shared" si="3"/>
        <v>2.9058504455637348</v>
      </c>
      <c r="G11" s="19">
        <v>100</v>
      </c>
    </row>
    <row r="12" spans="1:12" ht="13.5" customHeight="1" x14ac:dyDescent="0.25">
      <c r="A12" s="15" t="s">
        <v>1</v>
      </c>
      <c r="B12" s="16" t="s">
        <v>30</v>
      </c>
      <c r="C12" s="16">
        <v>438</v>
      </c>
      <c r="D12" s="16">
        <v>198</v>
      </c>
      <c r="E12" s="16">
        <v>139</v>
      </c>
      <c r="F12" s="16">
        <v>10</v>
      </c>
      <c r="G12" s="16">
        <f>SUM(C12:F12)</f>
        <v>785</v>
      </c>
    </row>
    <row r="13" spans="1:12" ht="13.5" customHeight="1" x14ac:dyDescent="0.25">
      <c r="A13" s="15"/>
      <c r="B13" s="18" t="s">
        <v>29</v>
      </c>
      <c r="C13" s="19">
        <f>(C12/$G$12)*100</f>
        <v>55.796178343949045</v>
      </c>
      <c r="D13" s="19">
        <f t="shared" ref="D13:F13" si="4">(D12/$G$12)*100</f>
        <v>25.222929936305732</v>
      </c>
      <c r="E13" s="19">
        <f t="shared" si="4"/>
        <v>17.70700636942675</v>
      </c>
      <c r="F13" s="19">
        <f t="shared" si="4"/>
        <v>1.2738853503184715</v>
      </c>
      <c r="G13" s="19">
        <v>100</v>
      </c>
    </row>
    <row r="14" spans="1:12" ht="13.5" customHeight="1" x14ac:dyDescent="0.25">
      <c r="A14" t="s">
        <v>10</v>
      </c>
      <c r="B14" s="16" t="s">
        <v>30</v>
      </c>
      <c r="C14" s="16">
        <v>518</v>
      </c>
      <c r="D14" s="16">
        <v>188</v>
      </c>
      <c r="E14" s="16">
        <v>148</v>
      </c>
      <c r="F14" s="16">
        <v>13</v>
      </c>
      <c r="G14" s="16">
        <f>SUM(C14:F14)</f>
        <v>867</v>
      </c>
    </row>
    <row r="15" spans="1:12" ht="13.5" customHeight="1" x14ac:dyDescent="0.25">
      <c r="A15" s="15"/>
      <c r="B15" s="18" t="s">
        <v>29</v>
      </c>
      <c r="C15" s="19">
        <f>(C14/$G$14)*100</f>
        <v>59.746251441753174</v>
      </c>
      <c r="D15" s="19">
        <f t="shared" ref="D15:F15" si="5">(D14/$G$14)*100</f>
        <v>21.68396770472895</v>
      </c>
      <c r="E15" s="19">
        <f t="shared" si="5"/>
        <v>17.070357554786618</v>
      </c>
      <c r="F15" s="19">
        <f t="shared" si="5"/>
        <v>1.4994232987312572</v>
      </c>
      <c r="G15" s="19">
        <v>100</v>
      </c>
    </row>
    <row r="16" spans="1:12" ht="13.5" customHeight="1" x14ac:dyDescent="0.25">
      <c r="A16" s="15" t="s">
        <v>0</v>
      </c>
      <c r="B16" s="16" t="s">
        <v>30</v>
      </c>
      <c r="C16" s="16">
        <f>C14+C12+C10+C8+C6+C4</f>
        <v>11344</v>
      </c>
      <c r="D16" s="16">
        <f t="shared" ref="D16:G16" si="6">D14+D12+D10+D8+D6+D4</f>
        <v>4831</v>
      </c>
      <c r="E16" s="16">
        <f t="shared" si="6"/>
        <v>3221</v>
      </c>
      <c r="F16" s="16">
        <f t="shared" si="6"/>
        <v>617</v>
      </c>
      <c r="G16" s="16">
        <f t="shared" si="6"/>
        <v>20013</v>
      </c>
    </row>
    <row r="17" spans="1:14" ht="13.5" customHeight="1" x14ac:dyDescent="0.25">
      <c r="A17" s="15"/>
      <c r="B17" s="17" t="s">
        <v>29</v>
      </c>
      <c r="C17" s="21">
        <f>(C16/$G$16)*100</f>
        <v>56.683155948633392</v>
      </c>
      <c r="D17" s="21">
        <f t="shared" ref="D17:F17" si="7">(D16/$G$16)*100</f>
        <v>24.139309448858242</v>
      </c>
      <c r="E17" s="21">
        <f t="shared" si="7"/>
        <v>16.094538549942538</v>
      </c>
      <c r="F17" s="21">
        <f t="shared" si="7"/>
        <v>3.0829960525658322</v>
      </c>
      <c r="G17" s="21">
        <v>100</v>
      </c>
    </row>
    <row r="18" spans="1:14" ht="13.5" customHeight="1" x14ac:dyDescent="0.25">
      <c r="A18" s="15"/>
      <c r="B18" s="16"/>
      <c r="C18" s="62"/>
      <c r="D18" s="62"/>
      <c r="E18" s="62"/>
      <c r="F18" s="62"/>
      <c r="G18" s="62"/>
    </row>
    <row r="19" spans="1:14" ht="13.5" customHeight="1" x14ac:dyDescent="0.25">
      <c r="A19" s="15"/>
      <c r="B19" s="16"/>
      <c r="C19" s="62"/>
      <c r="D19" s="62"/>
      <c r="E19" s="62"/>
      <c r="F19" s="62"/>
      <c r="G19" s="62"/>
    </row>
    <row r="20" spans="1:14" ht="13.5" customHeight="1" x14ac:dyDescent="0.25">
      <c r="A20" s="15"/>
      <c r="B20" s="16"/>
      <c r="C20" s="62"/>
      <c r="D20" s="62"/>
      <c r="E20" s="62"/>
      <c r="F20" s="62"/>
      <c r="G20" s="62"/>
    </row>
    <row r="21" spans="1:14" ht="13.5" customHeight="1" x14ac:dyDescent="0.25">
      <c r="A21" s="3" t="s">
        <v>37</v>
      </c>
    </row>
    <row r="22" spans="1:14" ht="13.5" customHeight="1" x14ac:dyDescent="0.25">
      <c r="A22" s="78" t="s">
        <v>28</v>
      </c>
      <c r="B22" s="14"/>
      <c r="C22" s="15"/>
      <c r="D22" s="79" t="s">
        <v>36</v>
      </c>
      <c r="E22" s="79"/>
      <c r="F22" s="79"/>
      <c r="G22" s="15"/>
    </row>
    <row r="23" spans="1:14" x14ac:dyDescent="0.25">
      <c r="A23" s="78"/>
      <c r="B23" s="14"/>
      <c r="C23" s="15"/>
      <c r="D23" s="79"/>
      <c r="E23" s="79"/>
      <c r="F23" s="79"/>
      <c r="G23" s="15"/>
    </row>
    <row r="24" spans="1:14" ht="13.5" customHeight="1" x14ac:dyDescent="0.25">
      <c r="A24" s="78"/>
      <c r="B24" s="20"/>
      <c r="C24" s="17" t="s">
        <v>24</v>
      </c>
      <c r="D24" s="17" t="s">
        <v>32</v>
      </c>
      <c r="E24" s="17" t="s">
        <v>34</v>
      </c>
      <c r="F24" s="17" t="s">
        <v>33</v>
      </c>
      <c r="G24" s="17" t="s">
        <v>0</v>
      </c>
      <c r="H24" s="63" t="s">
        <v>93</v>
      </c>
    </row>
    <row r="25" spans="1:14" ht="13.5" customHeight="1" x14ac:dyDescent="0.25">
      <c r="A25" s="67" t="s">
        <v>103</v>
      </c>
      <c r="B25" s="16" t="s">
        <v>30</v>
      </c>
      <c r="C25" s="16">
        <v>4321</v>
      </c>
      <c r="D25" s="16">
        <v>1790</v>
      </c>
      <c r="E25" s="16">
        <v>1116</v>
      </c>
      <c r="F25" s="16">
        <v>202</v>
      </c>
      <c r="G25" s="16">
        <f>SUM(C25:F25)</f>
        <v>7429</v>
      </c>
    </row>
    <row r="26" spans="1:14" ht="13.5" customHeight="1" x14ac:dyDescent="0.25">
      <c r="A26" s="66"/>
      <c r="B26" s="18" t="s">
        <v>29</v>
      </c>
      <c r="C26" s="19">
        <f>(C25/$G$25)*100</f>
        <v>58.163952079687711</v>
      </c>
      <c r="D26" s="19">
        <f t="shared" ref="D26:F26" si="8">(D25/$G$25)*100</f>
        <v>24.094763763629022</v>
      </c>
      <c r="E26" s="19">
        <f t="shared" si="8"/>
        <v>15.022210257100552</v>
      </c>
      <c r="F26" s="19">
        <f t="shared" si="8"/>
        <v>2.7190738995827162</v>
      </c>
      <c r="G26" s="19">
        <v>100</v>
      </c>
    </row>
    <row r="27" spans="1:14" ht="13.5" customHeight="1" x14ac:dyDescent="0.25">
      <c r="A27" s="15" t="s">
        <v>27</v>
      </c>
      <c r="B27" s="16" t="s">
        <v>30</v>
      </c>
      <c r="C27" s="16">
        <v>1187</v>
      </c>
      <c r="D27" s="16">
        <v>426</v>
      </c>
      <c r="E27" s="16">
        <v>349</v>
      </c>
      <c r="F27" s="16">
        <v>48</v>
      </c>
      <c r="G27" s="16">
        <f>SUM(C27:F27)</f>
        <v>2010</v>
      </c>
    </row>
    <row r="28" spans="1:14" ht="13.5" customHeight="1" x14ac:dyDescent="0.25">
      <c r="A28" s="15"/>
      <c r="B28" s="18" t="s">
        <v>29</v>
      </c>
      <c r="C28" s="19">
        <f>(C27/$G$27)*100</f>
        <v>59.054726368159209</v>
      </c>
      <c r="D28" s="19">
        <f t="shared" ref="D28:F28" si="9">(D27/$G$27)*100</f>
        <v>21.194029850746269</v>
      </c>
      <c r="E28" s="19">
        <f t="shared" si="9"/>
        <v>17.363184079601989</v>
      </c>
      <c r="F28" s="19">
        <f t="shared" si="9"/>
        <v>2.3880597014925375</v>
      </c>
      <c r="G28" s="19">
        <v>100</v>
      </c>
    </row>
    <row r="29" spans="1:14" ht="13.5" customHeight="1" x14ac:dyDescent="0.25">
      <c r="A29" s="15" t="s">
        <v>8</v>
      </c>
      <c r="B29" s="16" t="s">
        <v>30</v>
      </c>
      <c r="C29" s="16">
        <v>1273</v>
      </c>
      <c r="D29" s="16">
        <v>214</v>
      </c>
      <c r="E29" s="16">
        <v>255</v>
      </c>
      <c r="F29" s="16">
        <v>19</v>
      </c>
      <c r="G29" s="16">
        <f>SUM(C29:F29)</f>
        <v>1761</v>
      </c>
    </row>
    <row r="30" spans="1:14" ht="13.5" customHeight="1" x14ac:dyDescent="0.25">
      <c r="A30" s="15"/>
      <c r="B30" s="18" t="s">
        <v>29</v>
      </c>
      <c r="C30" s="19">
        <f>(C29/$G$29)*100</f>
        <v>72.288472458830213</v>
      </c>
      <c r="D30" s="19">
        <f t="shared" ref="D30:F30" si="10">(D29/$G$29)*100</f>
        <v>12.152186257808063</v>
      </c>
      <c r="E30" s="19">
        <f t="shared" si="10"/>
        <v>14.480408858603067</v>
      </c>
      <c r="F30" s="19">
        <f t="shared" si="10"/>
        <v>1.0789324247586598</v>
      </c>
      <c r="G30" s="19">
        <v>100</v>
      </c>
      <c r="K30" s="80"/>
      <c r="L30" s="80"/>
      <c r="M30" s="80"/>
      <c r="N30" s="80"/>
    </row>
    <row r="31" spans="1:14" ht="13.5" customHeight="1" x14ac:dyDescent="0.25">
      <c r="A31" s="15" t="s">
        <v>26</v>
      </c>
      <c r="B31" s="16" t="s">
        <v>30</v>
      </c>
      <c r="C31" s="16">
        <v>893</v>
      </c>
      <c r="D31" s="16">
        <v>492</v>
      </c>
      <c r="E31" s="16">
        <v>263</v>
      </c>
      <c r="F31" s="16">
        <v>36</v>
      </c>
      <c r="G31" s="16">
        <f>SUM(C31:F31)</f>
        <v>1684</v>
      </c>
      <c r="K31" s="80"/>
      <c r="L31" s="80"/>
      <c r="M31" s="80"/>
      <c r="N31" s="80"/>
    </row>
    <row r="32" spans="1:14" ht="13.5" customHeight="1" x14ac:dyDescent="0.25">
      <c r="A32" s="15"/>
      <c r="B32" s="18" t="s">
        <v>29</v>
      </c>
      <c r="C32" s="19">
        <f>(C31/$G$31)*100</f>
        <v>53.028503562945374</v>
      </c>
      <c r="D32" s="19">
        <f t="shared" ref="D32:F32" si="11">(D31/$G$31)*100</f>
        <v>29.216152019002372</v>
      </c>
      <c r="E32" s="19">
        <f t="shared" si="11"/>
        <v>15.617577197149643</v>
      </c>
      <c r="F32" s="19">
        <f t="shared" si="11"/>
        <v>2.1377672209026128</v>
      </c>
      <c r="G32" s="19">
        <v>100</v>
      </c>
      <c r="K32" s="80"/>
      <c r="L32" s="80"/>
      <c r="M32" s="80"/>
      <c r="N32" s="80"/>
    </row>
    <row r="33" spans="1:14" ht="13.5" customHeight="1" x14ac:dyDescent="0.25">
      <c r="A33" s="15" t="s">
        <v>1</v>
      </c>
      <c r="B33" s="16" t="s">
        <v>30</v>
      </c>
      <c r="C33" s="16">
        <v>322</v>
      </c>
      <c r="D33" s="16">
        <v>113</v>
      </c>
      <c r="E33" s="16">
        <v>97</v>
      </c>
      <c r="F33" s="16">
        <v>5</v>
      </c>
      <c r="G33" s="16">
        <f>SUM(C33:F33)</f>
        <v>537</v>
      </c>
      <c r="K33" s="80"/>
      <c r="L33" s="80"/>
      <c r="M33" s="80"/>
      <c r="N33" s="80"/>
    </row>
    <row r="34" spans="1:14" ht="13.5" customHeight="1" x14ac:dyDescent="0.25">
      <c r="A34" s="15"/>
      <c r="B34" s="18" t="s">
        <v>29</v>
      </c>
      <c r="C34" s="19">
        <f>(C33/$G$33)*100</f>
        <v>59.962756052141529</v>
      </c>
      <c r="D34" s="19">
        <f t="shared" ref="D34:F34" si="12">(D33/$G$33)*100</f>
        <v>21.042830540037244</v>
      </c>
      <c r="E34" s="19">
        <f t="shared" si="12"/>
        <v>18.063314711359403</v>
      </c>
      <c r="F34" s="19">
        <f t="shared" si="12"/>
        <v>0.93109869646182497</v>
      </c>
      <c r="G34" s="19">
        <v>100</v>
      </c>
      <c r="K34" s="80"/>
      <c r="L34" s="80"/>
      <c r="M34" s="80"/>
      <c r="N34" s="80"/>
    </row>
    <row r="35" spans="1:14" ht="13.5" customHeight="1" x14ac:dyDescent="0.25">
      <c r="A35" t="s">
        <v>10</v>
      </c>
      <c r="B35" s="16" t="s">
        <v>30</v>
      </c>
      <c r="C35" s="16">
        <v>369</v>
      </c>
      <c r="D35" s="16">
        <v>99</v>
      </c>
      <c r="E35" s="16">
        <v>92</v>
      </c>
      <c r="F35" s="16">
        <v>8</v>
      </c>
      <c r="G35" s="16">
        <f>SUM(C35:F35)</f>
        <v>568</v>
      </c>
      <c r="K35" s="80"/>
      <c r="L35" s="80"/>
      <c r="M35" s="80"/>
      <c r="N35" s="80"/>
    </row>
    <row r="36" spans="1:14" ht="13.5" customHeight="1" x14ac:dyDescent="0.25">
      <c r="A36" s="15"/>
      <c r="B36" s="18" t="s">
        <v>29</v>
      </c>
      <c r="C36" s="19">
        <f>(C35/$G$35)*100</f>
        <v>64.964788732394368</v>
      </c>
      <c r="D36" s="19">
        <f t="shared" ref="D36:F36" si="13">(D35/$G$35)*100</f>
        <v>17.429577464788732</v>
      </c>
      <c r="E36" s="19">
        <f t="shared" si="13"/>
        <v>16.197183098591552</v>
      </c>
      <c r="F36" s="19">
        <f t="shared" si="13"/>
        <v>1.4084507042253522</v>
      </c>
      <c r="G36" s="19">
        <v>100</v>
      </c>
      <c r="K36" s="80"/>
      <c r="L36" s="80"/>
      <c r="M36" s="80"/>
      <c r="N36" s="80"/>
    </row>
    <row r="37" spans="1:14" ht="13.5" customHeight="1" x14ac:dyDescent="0.25">
      <c r="A37" s="15" t="s">
        <v>0</v>
      </c>
      <c r="B37" s="16" t="s">
        <v>30</v>
      </c>
      <c r="C37" s="16">
        <f>C35+C33+C31+C29+C27+C25</f>
        <v>8365</v>
      </c>
      <c r="D37" s="16">
        <f t="shared" ref="D37:G37" si="14">D35+D33+D31+D29+D27+D25</f>
        <v>3134</v>
      </c>
      <c r="E37" s="16">
        <f t="shared" si="14"/>
        <v>2172</v>
      </c>
      <c r="F37" s="16">
        <f t="shared" si="14"/>
        <v>318</v>
      </c>
      <c r="G37" s="16">
        <f t="shared" si="14"/>
        <v>13989</v>
      </c>
      <c r="K37" s="80"/>
      <c r="L37" s="80"/>
      <c r="M37" s="80"/>
      <c r="N37" s="80"/>
    </row>
    <row r="38" spans="1:14" ht="13.5" customHeight="1" x14ac:dyDescent="0.25">
      <c r="A38" s="15"/>
      <c r="B38" s="17" t="s">
        <v>29</v>
      </c>
      <c r="C38" s="21">
        <f>(C37/$G$37)*100</f>
        <v>59.796983344056045</v>
      </c>
      <c r="D38" s="21">
        <f t="shared" ref="D38:F38" si="15">(D37/$G$37)*100</f>
        <v>22.403316891843591</v>
      </c>
      <c r="E38" s="21">
        <f t="shared" si="15"/>
        <v>15.526485095432124</v>
      </c>
      <c r="F38" s="21">
        <f t="shared" si="15"/>
        <v>2.2732146686682393</v>
      </c>
      <c r="G38" s="21">
        <v>100</v>
      </c>
      <c r="K38" s="80"/>
      <c r="L38" s="80"/>
      <c r="M38" s="80"/>
      <c r="N38" s="80"/>
    </row>
    <row r="39" spans="1:14" ht="13.5" customHeight="1" x14ac:dyDescent="0.25">
      <c r="A39" s="15"/>
      <c r="B39" s="16"/>
      <c r="C39" s="62"/>
      <c r="D39" s="62"/>
      <c r="E39" s="62"/>
      <c r="F39" s="62"/>
      <c r="G39" s="62"/>
    </row>
    <row r="40" spans="1:14" ht="13.5" customHeight="1" x14ac:dyDescent="0.25">
      <c r="A40" s="3" t="s">
        <v>38</v>
      </c>
    </row>
    <row r="41" spans="1:14" ht="13.5" customHeight="1" x14ac:dyDescent="0.25">
      <c r="A41" s="78" t="s">
        <v>28</v>
      </c>
      <c r="B41" s="14"/>
      <c r="C41" s="15"/>
      <c r="D41" s="79" t="s">
        <v>39</v>
      </c>
      <c r="E41" s="79"/>
      <c r="F41" s="79"/>
      <c r="G41" s="15"/>
    </row>
    <row r="42" spans="1:14" ht="13.5" customHeight="1" x14ac:dyDescent="0.25">
      <c r="A42" s="78"/>
      <c r="B42" s="14"/>
      <c r="C42" s="15"/>
      <c r="D42" s="79"/>
      <c r="E42" s="79"/>
      <c r="F42" s="79"/>
      <c r="G42" s="15"/>
    </row>
    <row r="43" spans="1:14" ht="13.5" customHeight="1" x14ac:dyDescent="0.25">
      <c r="A43" s="78"/>
      <c r="B43" s="20"/>
      <c r="C43" s="17" t="s">
        <v>24</v>
      </c>
      <c r="D43" s="17" t="s">
        <v>32</v>
      </c>
      <c r="E43" s="17" t="s">
        <v>34</v>
      </c>
      <c r="F43" s="17" t="s">
        <v>33</v>
      </c>
      <c r="G43" s="17" t="s">
        <v>0</v>
      </c>
    </row>
    <row r="44" spans="1:14" ht="13.5" customHeight="1" x14ac:dyDescent="0.25">
      <c r="A44" s="67" t="s">
        <v>103</v>
      </c>
      <c r="B44" s="16" t="s">
        <v>30</v>
      </c>
      <c r="C44" s="16">
        <v>938</v>
      </c>
      <c r="D44" s="16">
        <v>758</v>
      </c>
      <c r="E44" s="16">
        <v>427</v>
      </c>
      <c r="F44" s="16">
        <v>174</v>
      </c>
      <c r="G44" s="16">
        <f>SUM(C44:F44)</f>
        <v>2297</v>
      </c>
    </row>
    <row r="45" spans="1:14" ht="13.5" customHeight="1" x14ac:dyDescent="0.25">
      <c r="A45" s="66"/>
      <c r="B45" s="18" t="s">
        <v>29</v>
      </c>
      <c r="C45" s="19">
        <f>(C44/$G$44)*100</f>
        <v>40.835872877666525</v>
      </c>
      <c r="D45" s="19">
        <f t="shared" ref="D45:F45" si="16">(D44/$G$44)*100</f>
        <v>32.999564649542883</v>
      </c>
      <c r="E45" s="19">
        <f t="shared" si="16"/>
        <v>18.589464518937746</v>
      </c>
      <c r="F45" s="19">
        <f t="shared" si="16"/>
        <v>7.5750979538528513</v>
      </c>
      <c r="G45" s="19">
        <v>100</v>
      </c>
    </row>
    <row r="46" spans="1:14" ht="13.5" customHeight="1" x14ac:dyDescent="0.25">
      <c r="A46" s="15" t="s">
        <v>27</v>
      </c>
      <c r="B46" s="16" t="s">
        <v>30</v>
      </c>
      <c r="C46" s="16">
        <v>683</v>
      </c>
      <c r="D46" s="16">
        <v>210</v>
      </c>
      <c r="E46" s="16">
        <v>203</v>
      </c>
      <c r="F46" s="16">
        <v>53</v>
      </c>
      <c r="G46" s="16">
        <f>SUM(C46:F46)</f>
        <v>1149</v>
      </c>
    </row>
    <row r="47" spans="1:14" ht="13.5" customHeight="1" x14ac:dyDescent="0.25">
      <c r="A47" s="15"/>
      <c r="B47" s="18" t="s">
        <v>29</v>
      </c>
      <c r="C47" s="19">
        <f>(C46/$G$46)*100</f>
        <v>59.442993907745866</v>
      </c>
      <c r="D47" s="19">
        <f t="shared" ref="D47:F47" si="17">(D46/$G$46)*100</f>
        <v>18.276762402088771</v>
      </c>
      <c r="E47" s="19">
        <f t="shared" si="17"/>
        <v>17.667536988685814</v>
      </c>
      <c r="F47" s="19">
        <f t="shared" si="17"/>
        <v>4.6127067014795475</v>
      </c>
      <c r="G47" s="19">
        <v>100</v>
      </c>
    </row>
    <row r="48" spans="1:14" ht="13.5" customHeight="1" x14ac:dyDescent="0.25">
      <c r="A48" s="15" t="s">
        <v>8</v>
      </c>
      <c r="B48" s="16" t="s">
        <v>30</v>
      </c>
      <c r="C48" s="16">
        <v>636</v>
      </c>
      <c r="D48" s="16">
        <v>290</v>
      </c>
      <c r="E48" s="16">
        <v>182</v>
      </c>
      <c r="F48" s="16">
        <v>23</v>
      </c>
      <c r="G48" s="16">
        <f>SUM(C48:F48)</f>
        <v>1131</v>
      </c>
    </row>
    <row r="49" spans="1:7" ht="13.5" customHeight="1" x14ac:dyDescent="0.25">
      <c r="A49" s="15"/>
      <c r="B49" s="18" t="s">
        <v>29</v>
      </c>
      <c r="C49" s="19">
        <f>(C48/$G$48)*100</f>
        <v>56.233421750663126</v>
      </c>
      <c r="D49" s="19">
        <f t="shared" ref="D49:F49" si="18">(D48/$G$48)*100</f>
        <v>25.641025641025639</v>
      </c>
      <c r="E49" s="19">
        <f t="shared" si="18"/>
        <v>16.091954022988507</v>
      </c>
      <c r="F49" s="19">
        <f t="shared" si="18"/>
        <v>2.0335985853227232</v>
      </c>
      <c r="G49" s="19">
        <v>100</v>
      </c>
    </row>
    <row r="50" spans="1:7" ht="13.5" customHeight="1" x14ac:dyDescent="0.25">
      <c r="A50" s="15" t="s">
        <v>26</v>
      </c>
      <c r="B50" s="16" t="s">
        <v>30</v>
      </c>
      <c r="C50" s="16">
        <v>457</v>
      </c>
      <c r="D50" s="16">
        <v>263</v>
      </c>
      <c r="E50" s="16">
        <v>138</v>
      </c>
      <c r="F50" s="16">
        <v>39</v>
      </c>
      <c r="G50" s="16">
        <f>SUM(C50:F50)</f>
        <v>897</v>
      </c>
    </row>
    <row r="51" spans="1:7" ht="13.5" customHeight="1" x14ac:dyDescent="0.25">
      <c r="A51" s="15"/>
      <c r="B51" s="18" t="s">
        <v>29</v>
      </c>
      <c r="C51" s="19">
        <f>(C50/$G$50)*100</f>
        <v>50.94760312151616</v>
      </c>
      <c r="D51" s="19">
        <f t="shared" ref="D51:F51" si="19">(D50/$G$50)*100</f>
        <v>29.31995540691193</v>
      </c>
      <c r="E51" s="19">
        <f t="shared" si="19"/>
        <v>15.384615384615385</v>
      </c>
      <c r="F51" s="19">
        <f t="shared" si="19"/>
        <v>4.3478260869565215</v>
      </c>
      <c r="G51" s="19">
        <v>100</v>
      </c>
    </row>
    <row r="52" spans="1:7" ht="13.5" customHeight="1" x14ac:dyDescent="0.25">
      <c r="A52" s="15" t="s">
        <v>1</v>
      </c>
      <c r="B52" s="16" t="s">
        <v>30</v>
      </c>
      <c r="C52" s="16">
        <v>116</v>
      </c>
      <c r="D52" s="16">
        <v>85</v>
      </c>
      <c r="E52" s="16">
        <v>42</v>
      </c>
      <c r="F52" s="16">
        <v>5</v>
      </c>
      <c r="G52" s="16">
        <f>SUM(C52:F52)</f>
        <v>248</v>
      </c>
    </row>
    <row r="53" spans="1:7" ht="13.5" customHeight="1" x14ac:dyDescent="0.25">
      <c r="A53" s="15"/>
      <c r="B53" s="18" t="s">
        <v>29</v>
      </c>
      <c r="C53" s="19">
        <f>(C52/$G$52)*100</f>
        <v>46.774193548387096</v>
      </c>
      <c r="D53" s="19">
        <f t="shared" ref="D53:F53" si="20">(D52/$G$52)*100</f>
        <v>34.274193548387096</v>
      </c>
      <c r="E53" s="19">
        <f t="shared" si="20"/>
        <v>16.93548387096774</v>
      </c>
      <c r="F53" s="19">
        <f t="shared" si="20"/>
        <v>2.0161290322580645</v>
      </c>
      <c r="G53" s="19">
        <v>100</v>
      </c>
    </row>
    <row r="54" spans="1:7" ht="13.5" customHeight="1" x14ac:dyDescent="0.25">
      <c r="A54" t="s">
        <v>10</v>
      </c>
      <c r="B54" s="16" t="s">
        <v>30</v>
      </c>
      <c r="C54" s="16">
        <v>149</v>
      </c>
      <c r="D54" s="16">
        <v>89</v>
      </c>
      <c r="E54" s="16">
        <v>56</v>
      </c>
      <c r="F54" s="16">
        <v>5</v>
      </c>
      <c r="G54" s="16">
        <f>SUM(C54:F54)</f>
        <v>299</v>
      </c>
    </row>
    <row r="55" spans="1:7" ht="13.5" customHeight="1" x14ac:dyDescent="0.25">
      <c r="A55" s="15"/>
      <c r="B55" s="18" t="s">
        <v>29</v>
      </c>
      <c r="C55" s="19">
        <f>(C54/$G$54)*100</f>
        <v>49.832775919732441</v>
      </c>
      <c r="D55" s="19">
        <f t="shared" ref="D55:F55" si="21">(D54/$G$54)*100</f>
        <v>29.76588628762542</v>
      </c>
      <c r="E55" s="19">
        <f t="shared" si="21"/>
        <v>18.729096989966553</v>
      </c>
      <c r="F55" s="19">
        <f t="shared" si="21"/>
        <v>1.6722408026755853</v>
      </c>
      <c r="G55" s="19">
        <v>100</v>
      </c>
    </row>
    <row r="56" spans="1:7" x14ac:dyDescent="0.25">
      <c r="A56" s="15" t="s">
        <v>0</v>
      </c>
      <c r="B56" s="16" t="s">
        <v>30</v>
      </c>
      <c r="C56" s="16">
        <f>C54+C52+C50+C48+C46+C44</f>
        <v>2979</v>
      </c>
      <c r="D56" s="16">
        <f t="shared" ref="D56:G56" si="22">D54+D52+D50+D48+D46+D44</f>
        <v>1695</v>
      </c>
      <c r="E56" s="16">
        <f t="shared" si="22"/>
        <v>1048</v>
      </c>
      <c r="F56" s="16">
        <f t="shared" si="22"/>
        <v>299</v>
      </c>
      <c r="G56" s="16">
        <f t="shared" si="22"/>
        <v>6021</v>
      </c>
    </row>
    <row r="57" spans="1:7" x14ac:dyDescent="0.25">
      <c r="A57" s="15"/>
      <c r="B57" s="17" t="s">
        <v>29</v>
      </c>
      <c r="C57" s="21">
        <f>(C56/$G$56)*100</f>
        <v>49.47683109118087</v>
      </c>
      <c r="D57" s="21">
        <f t="shared" ref="D57:F57" si="23">(D56/$G$56)*100</f>
        <v>28.151469855505727</v>
      </c>
      <c r="E57" s="21">
        <f t="shared" si="23"/>
        <v>17.405746553728616</v>
      </c>
      <c r="F57" s="21">
        <f t="shared" si="23"/>
        <v>4.9659524995847866</v>
      </c>
      <c r="G57" s="21">
        <v>100</v>
      </c>
    </row>
    <row r="58" spans="1:7" x14ac:dyDescent="0.25">
      <c r="A58" t="s">
        <v>98</v>
      </c>
    </row>
  </sheetData>
  <mergeCells count="8">
    <mergeCell ref="A41:A43"/>
    <mergeCell ref="D41:F42"/>
    <mergeCell ref="A1:A3"/>
    <mergeCell ref="D1:F2"/>
    <mergeCell ref="H2:L6"/>
    <mergeCell ref="A22:A24"/>
    <mergeCell ref="D22:F23"/>
    <mergeCell ref="K30:N38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2"/>
  <sheetViews>
    <sheetView topLeftCell="A31" workbookViewId="0">
      <selection activeCell="A17" sqref="A17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4.85546875" bestFit="1" customWidth="1"/>
    <col min="4" max="10" width="6.85546875" bestFit="1" customWidth="1"/>
    <col min="11" max="11" width="10.28515625" bestFit="1" customWidth="1"/>
    <col min="12" max="12" width="6" bestFit="1" customWidth="1"/>
  </cols>
  <sheetData>
    <row r="1" spans="1:18" ht="15" customHeight="1" x14ac:dyDescent="0.25">
      <c r="A1" s="78" t="s">
        <v>62</v>
      </c>
      <c r="B1" s="79" t="s">
        <v>54</v>
      </c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25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8" x14ac:dyDescent="0.25">
      <c r="A3" s="78"/>
      <c r="B3" s="7"/>
      <c r="C3" s="7" t="s">
        <v>14</v>
      </c>
      <c r="D3" s="7" t="s">
        <v>46</v>
      </c>
      <c r="E3" s="7" t="s">
        <v>50</v>
      </c>
      <c r="F3" s="7" t="s">
        <v>17</v>
      </c>
      <c r="G3" s="7" t="s">
        <v>47</v>
      </c>
      <c r="H3" s="7" t="s">
        <v>48</v>
      </c>
      <c r="I3" s="7" t="s">
        <v>49</v>
      </c>
      <c r="J3" s="7" t="s">
        <v>51</v>
      </c>
      <c r="K3" s="7" t="s">
        <v>52</v>
      </c>
      <c r="L3" s="24" t="s">
        <v>0</v>
      </c>
      <c r="N3" s="76" t="s">
        <v>83</v>
      </c>
      <c r="O3" s="76"/>
      <c r="P3" s="76"/>
      <c r="Q3" s="76"/>
      <c r="R3" s="76"/>
    </row>
    <row r="4" spans="1:18" x14ac:dyDescent="0.25">
      <c r="A4" s="15" t="s">
        <v>31</v>
      </c>
      <c r="B4" s="18" t="s">
        <v>30</v>
      </c>
      <c r="C4" s="5">
        <v>17</v>
      </c>
      <c r="D4" s="5">
        <v>697</v>
      </c>
      <c r="E4" s="5">
        <v>725</v>
      </c>
      <c r="F4" s="5">
        <v>620</v>
      </c>
      <c r="G4" s="5">
        <v>463</v>
      </c>
      <c r="H4" s="5">
        <v>234</v>
      </c>
      <c r="I4" s="5">
        <v>95</v>
      </c>
      <c r="J4" s="5">
        <v>49</v>
      </c>
      <c r="K4" s="18">
        <v>20</v>
      </c>
      <c r="L4" s="5">
        <v>2920</v>
      </c>
      <c r="N4" s="76"/>
      <c r="O4" s="76"/>
      <c r="P4" s="76"/>
      <c r="Q4" s="76"/>
      <c r="R4" s="76"/>
    </row>
    <row r="5" spans="1:18" x14ac:dyDescent="0.25">
      <c r="A5" s="15"/>
      <c r="B5" s="22" t="s">
        <v>29</v>
      </c>
      <c r="C5" s="10">
        <v>0.57999999999999996</v>
      </c>
      <c r="D5" s="10">
        <v>23.87</v>
      </c>
      <c r="E5" s="10">
        <v>24.83</v>
      </c>
      <c r="F5" s="10">
        <v>21.23</v>
      </c>
      <c r="G5" s="10">
        <v>15.86</v>
      </c>
      <c r="H5" s="10">
        <v>8.01</v>
      </c>
      <c r="I5" s="10">
        <v>3.25</v>
      </c>
      <c r="J5" s="10">
        <v>1.68</v>
      </c>
      <c r="K5" s="25">
        <v>0.68</v>
      </c>
      <c r="L5" s="9">
        <v>100</v>
      </c>
      <c r="N5" s="76"/>
      <c r="O5" s="76"/>
      <c r="P5" s="76"/>
      <c r="Q5" s="76"/>
      <c r="R5" s="76"/>
    </row>
    <row r="6" spans="1:18" x14ac:dyDescent="0.25">
      <c r="A6" s="15" t="s">
        <v>32</v>
      </c>
      <c r="B6" s="22" t="s">
        <v>30</v>
      </c>
      <c r="C6" s="9">
        <v>77</v>
      </c>
      <c r="D6" s="9">
        <v>464</v>
      </c>
      <c r="E6" s="9">
        <v>321</v>
      </c>
      <c r="F6" s="9">
        <v>287</v>
      </c>
      <c r="G6" s="9">
        <v>218</v>
      </c>
      <c r="H6" s="9">
        <v>142</v>
      </c>
      <c r="I6" s="9">
        <v>99</v>
      </c>
      <c r="J6" s="9">
        <v>50</v>
      </c>
      <c r="K6" s="22">
        <v>23</v>
      </c>
      <c r="L6" s="9">
        <v>1681</v>
      </c>
    </row>
    <row r="7" spans="1:18" x14ac:dyDescent="0.25">
      <c r="A7" s="15"/>
      <c r="B7" s="22" t="s">
        <v>29</v>
      </c>
      <c r="C7" s="10">
        <v>4.58</v>
      </c>
      <c r="D7" s="10">
        <v>27.6</v>
      </c>
      <c r="E7" s="10">
        <v>19.100000000000001</v>
      </c>
      <c r="F7" s="10">
        <v>17.07</v>
      </c>
      <c r="G7" s="10">
        <v>12.97</v>
      </c>
      <c r="H7" s="10">
        <v>8.4499999999999993</v>
      </c>
      <c r="I7" s="10">
        <v>5.89</v>
      </c>
      <c r="J7" s="10">
        <v>2.97</v>
      </c>
      <c r="K7" s="25">
        <v>1.37</v>
      </c>
      <c r="L7" s="9">
        <v>100</v>
      </c>
    </row>
    <row r="8" spans="1:18" x14ac:dyDescent="0.25">
      <c r="A8" s="15" t="s">
        <v>24</v>
      </c>
      <c r="B8" s="22" t="s">
        <v>30</v>
      </c>
      <c r="C8" s="9">
        <v>448</v>
      </c>
      <c r="D8" s="9">
        <v>636</v>
      </c>
      <c r="E8" s="9">
        <v>494</v>
      </c>
      <c r="F8" s="9">
        <v>506</v>
      </c>
      <c r="G8" s="9">
        <v>488</v>
      </c>
      <c r="H8" s="9">
        <v>417</v>
      </c>
      <c r="I8" s="9">
        <v>456</v>
      </c>
      <c r="J8" s="9">
        <v>384</v>
      </c>
      <c r="K8" s="22">
        <v>328</v>
      </c>
      <c r="L8" s="9">
        <v>4157</v>
      </c>
    </row>
    <row r="9" spans="1:18" x14ac:dyDescent="0.25">
      <c r="A9" s="15"/>
      <c r="B9" s="22" t="s">
        <v>29</v>
      </c>
      <c r="C9" s="10">
        <v>10.78</v>
      </c>
      <c r="D9" s="10">
        <v>15.3</v>
      </c>
      <c r="E9" s="10">
        <v>11.88</v>
      </c>
      <c r="F9" s="10">
        <v>12.17</v>
      </c>
      <c r="G9" s="10">
        <v>11.74</v>
      </c>
      <c r="H9" s="10">
        <v>10.029999999999999</v>
      </c>
      <c r="I9" s="10">
        <v>10.97</v>
      </c>
      <c r="J9" s="10">
        <v>9.24</v>
      </c>
      <c r="K9" s="25">
        <v>7.89</v>
      </c>
      <c r="L9" s="9">
        <v>100</v>
      </c>
    </row>
    <row r="10" spans="1:18" x14ac:dyDescent="0.25">
      <c r="A10" s="15" t="s">
        <v>33</v>
      </c>
      <c r="B10" s="22" t="s">
        <v>30</v>
      </c>
      <c r="C10" s="9">
        <v>12</v>
      </c>
      <c r="D10" s="9">
        <v>45</v>
      </c>
      <c r="E10" s="9">
        <v>21</v>
      </c>
      <c r="F10" s="9">
        <v>19</v>
      </c>
      <c r="G10" s="9">
        <v>20</v>
      </c>
      <c r="H10" s="9">
        <v>17</v>
      </c>
      <c r="I10" s="9">
        <v>15</v>
      </c>
      <c r="J10" s="9">
        <v>12</v>
      </c>
      <c r="K10" s="22">
        <v>9</v>
      </c>
      <c r="L10" s="9">
        <v>170</v>
      </c>
    </row>
    <row r="11" spans="1:18" x14ac:dyDescent="0.25">
      <c r="A11" s="15"/>
      <c r="B11" s="22" t="s">
        <v>29</v>
      </c>
      <c r="C11" s="10">
        <v>7.06</v>
      </c>
      <c r="D11" s="10">
        <v>26.47</v>
      </c>
      <c r="E11" s="10">
        <v>12.35</v>
      </c>
      <c r="F11" s="10">
        <v>11.18</v>
      </c>
      <c r="G11" s="10">
        <v>11.76</v>
      </c>
      <c r="H11" s="10">
        <v>10</v>
      </c>
      <c r="I11" s="10">
        <v>8.82</v>
      </c>
      <c r="J11" s="10">
        <v>7.06</v>
      </c>
      <c r="K11" s="25">
        <v>5.29</v>
      </c>
      <c r="L11" s="9">
        <v>100</v>
      </c>
    </row>
    <row r="12" spans="1:18" x14ac:dyDescent="0.25">
      <c r="A12" s="15" t="s">
        <v>25</v>
      </c>
      <c r="B12" s="22" t="s">
        <v>30</v>
      </c>
      <c r="C12" s="9">
        <v>88</v>
      </c>
      <c r="D12" s="9">
        <v>231</v>
      </c>
      <c r="E12" s="9">
        <v>129</v>
      </c>
      <c r="F12" s="9">
        <v>115</v>
      </c>
      <c r="G12" s="9">
        <v>100</v>
      </c>
      <c r="H12" s="9">
        <v>93</v>
      </c>
      <c r="I12" s="9">
        <v>110</v>
      </c>
      <c r="J12" s="9">
        <v>125</v>
      </c>
      <c r="K12" s="22">
        <v>113</v>
      </c>
      <c r="L12" s="9">
        <v>1104</v>
      </c>
    </row>
    <row r="13" spans="1:18" x14ac:dyDescent="0.25">
      <c r="A13" s="15"/>
      <c r="B13" s="22" t="s">
        <v>29</v>
      </c>
      <c r="C13" s="10">
        <v>7.97</v>
      </c>
      <c r="D13" s="10">
        <v>20.92</v>
      </c>
      <c r="E13" s="10">
        <v>11.68</v>
      </c>
      <c r="F13" s="10">
        <v>10.42</v>
      </c>
      <c r="G13" s="10">
        <v>9.06</v>
      </c>
      <c r="H13" s="10">
        <v>8.42</v>
      </c>
      <c r="I13" s="10">
        <v>9.9600000000000009</v>
      </c>
      <c r="J13" s="10">
        <v>11.32</v>
      </c>
      <c r="K13" s="25">
        <v>10.24</v>
      </c>
      <c r="L13" s="9">
        <v>100</v>
      </c>
    </row>
    <row r="14" spans="1:18" x14ac:dyDescent="0.25">
      <c r="A14" s="15" t="s">
        <v>0</v>
      </c>
      <c r="B14" s="22" t="s">
        <v>30</v>
      </c>
      <c r="C14" s="9">
        <v>642</v>
      </c>
      <c r="D14" s="9">
        <v>2073</v>
      </c>
      <c r="E14" s="9">
        <v>1690</v>
      </c>
      <c r="F14" s="9">
        <v>1547</v>
      </c>
      <c r="G14" s="9">
        <v>1289</v>
      </c>
      <c r="H14" s="9">
        <v>903</v>
      </c>
      <c r="I14" s="9">
        <v>775</v>
      </c>
      <c r="J14" s="9">
        <v>620</v>
      </c>
      <c r="K14" s="22">
        <v>493</v>
      </c>
      <c r="L14" s="9">
        <v>10032</v>
      </c>
    </row>
    <row r="15" spans="1:18" x14ac:dyDescent="0.25">
      <c r="A15" s="15"/>
      <c r="B15" s="17" t="s">
        <v>29</v>
      </c>
      <c r="C15" s="8">
        <v>6.4</v>
      </c>
      <c r="D15" s="8">
        <v>20.66</v>
      </c>
      <c r="E15" s="8">
        <v>16.850000000000001</v>
      </c>
      <c r="F15" s="8">
        <v>15.42</v>
      </c>
      <c r="G15" s="8">
        <v>12.85</v>
      </c>
      <c r="H15" s="8">
        <v>9</v>
      </c>
      <c r="I15" s="8">
        <v>7.73</v>
      </c>
      <c r="J15" s="8">
        <v>6.18</v>
      </c>
      <c r="K15" s="21">
        <v>4.91</v>
      </c>
      <c r="L15" s="7">
        <v>100</v>
      </c>
    </row>
    <row r="18" spans="1:12" x14ac:dyDescent="0.25">
      <c r="A18" s="3" t="s">
        <v>37</v>
      </c>
    </row>
    <row r="19" spans="1:12" x14ac:dyDescent="0.25">
      <c r="A19" s="78" t="s">
        <v>53</v>
      </c>
      <c r="B19" s="79" t="s">
        <v>55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</row>
    <row r="20" spans="1:12" x14ac:dyDescent="0.25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</row>
    <row r="21" spans="1:12" x14ac:dyDescent="0.25">
      <c r="A21" s="78"/>
      <c r="B21" s="7"/>
      <c r="C21" s="7" t="s">
        <v>14</v>
      </c>
      <c r="D21" s="7" t="s">
        <v>46</v>
      </c>
      <c r="E21" s="7" t="s">
        <v>50</v>
      </c>
      <c r="F21" s="7" t="s">
        <v>17</v>
      </c>
      <c r="G21" s="7" t="s">
        <v>47</v>
      </c>
      <c r="H21" s="7" t="s">
        <v>48</v>
      </c>
      <c r="I21" s="7" t="s">
        <v>49</v>
      </c>
      <c r="J21" s="7" t="s">
        <v>51</v>
      </c>
      <c r="K21" s="7" t="s">
        <v>52</v>
      </c>
      <c r="L21" s="24" t="s">
        <v>0</v>
      </c>
    </row>
    <row r="22" spans="1:12" x14ac:dyDescent="0.25">
      <c r="A22" s="15" t="s">
        <v>31</v>
      </c>
      <c r="B22" s="18" t="s">
        <v>30</v>
      </c>
      <c r="C22" s="5">
        <v>7</v>
      </c>
      <c r="D22" s="5">
        <v>499</v>
      </c>
      <c r="E22" s="5">
        <v>445</v>
      </c>
      <c r="F22" s="5">
        <v>362</v>
      </c>
      <c r="G22" s="5">
        <v>287</v>
      </c>
      <c r="H22" s="5">
        <v>151</v>
      </c>
      <c r="I22" s="5">
        <v>42</v>
      </c>
      <c r="J22" s="5">
        <v>26</v>
      </c>
      <c r="K22" s="18">
        <v>8</v>
      </c>
      <c r="L22" s="5">
        <v>1827</v>
      </c>
    </row>
    <row r="23" spans="1:12" x14ac:dyDescent="0.25">
      <c r="A23" s="15"/>
      <c r="B23" s="22" t="s">
        <v>29</v>
      </c>
      <c r="C23" s="10">
        <v>0.38</v>
      </c>
      <c r="D23" s="10">
        <v>27.31</v>
      </c>
      <c r="E23" s="10">
        <v>24.36</v>
      </c>
      <c r="F23" s="10">
        <v>19.809999999999999</v>
      </c>
      <c r="G23" s="10">
        <v>15.71</v>
      </c>
      <c r="H23" s="10">
        <v>8.26</v>
      </c>
      <c r="I23" s="10">
        <v>2.2999999999999998</v>
      </c>
      <c r="J23" s="10">
        <v>1.42</v>
      </c>
      <c r="K23" s="25">
        <v>0.44</v>
      </c>
      <c r="L23" s="9">
        <v>100</v>
      </c>
    </row>
    <row r="24" spans="1:12" x14ac:dyDescent="0.25">
      <c r="A24" s="15" t="s">
        <v>32</v>
      </c>
      <c r="B24" s="22" t="s">
        <v>30</v>
      </c>
      <c r="C24" s="9">
        <v>37</v>
      </c>
      <c r="D24" s="9">
        <v>315</v>
      </c>
      <c r="E24" s="9">
        <v>225</v>
      </c>
      <c r="F24" s="9">
        <v>163</v>
      </c>
      <c r="G24" s="9">
        <v>124</v>
      </c>
      <c r="H24" s="9">
        <v>81</v>
      </c>
      <c r="I24" s="9">
        <v>41</v>
      </c>
      <c r="J24" s="9">
        <v>21</v>
      </c>
      <c r="K24" s="22">
        <v>8</v>
      </c>
      <c r="L24" s="9">
        <v>1015</v>
      </c>
    </row>
    <row r="25" spans="1:12" x14ac:dyDescent="0.25">
      <c r="A25" s="15"/>
      <c r="B25" s="22" t="s">
        <v>29</v>
      </c>
      <c r="C25" s="10">
        <v>3.65</v>
      </c>
      <c r="D25" s="10">
        <v>31.03</v>
      </c>
      <c r="E25" s="10">
        <v>22.17</v>
      </c>
      <c r="F25" s="10">
        <v>16.059999999999999</v>
      </c>
      <c r="G25" s="10">
        <v>12.22</v>
      </c>
      <c r="H25" s="10">
        <v>7.98</v>
      </c>
      <c r="I25" s="10">
        <v>4.04</v>
      </c>
      <c r="J25" s="10">
        <v>2.0699999999999998</v>
      </c>
      <c r="K25" s="25">
        <v>0.79</v>
      </c>
      <c r="L25" s="9">
        <v>100</v>
      </c>
    </row>
    <row r="26" spans="1:12" x14ac:dyDescent="0.25">
      <c r="A26" s="15" t="s">
        <v>24</v>
      </c>
      <c r="B26" s="22" t="s">
        <v>30</v>
      </c>
      <c r="C26" s="9">
        <v>205</v>
      </c>
      <c r="D26" s="9">
        <v>371</v>
      </c>
      <c r="E26" s="9">
        <v>377</v>
      </c>
      <c r="F26" s="9">
        <v>409</v>
      </c>
      <c r="G26" s="9">
        <v>400</v>
      </c>
      <c r="H26" s="9">
        <v>294</v>
      </c>
      <c r="I26" s="9">
        <v>269</v>
      </c>
      <c r="J26" s="9">
        <v>233</v>
      </c>
      <c r="K26" s="22">
        <v>188</v>
      </c>
      <c r="L26" s="9">
        <v>2746</v>
      </c>
    </row>
    <row r="27" spans="1:12" x14ac:dyDescent="0.25">
      <c r="A27" s="15"/>
      <c r="B27" s="22" t="s">
        <v>29</v>
      </c>
      <c r="C27" s="10">
        <v>7.47</v>
      </c>
      <c r="D27" s="10">
        <v>13.51</v>
      </c>
      <c r="E27" s="10">
        <v>13.73</v>
      </c>
      <c r="F27" s="10">
        <v>14.89</v>
      </c>
      <c r="G27" s="10">
        <v>14.57</v>
      </c>
      <c r="H27" s="10">
        <v>10.71</v>
      </c>
      <c r="I27" s="10">
        <v>9.8000000000000007</v>
      </c>
      <c r="J27" s="10">
        <v>8.49</v>
      </c>
      <c r="K27" s="25">
        <v>6.85</v>
      </c>
      <c r="L27" s="9">
        <v>100</v>
      </c>
    </row>
    <row r="28" spans="1:12" x14ac:dyDescent="0.25">
      <c r="A28" s="15" t="s">
        <v>33</v>
      </c>
      <c r="B28" s="22" t="s">
        <v>30</v>
      </c>
      <c r="C28" s="9">
        <v>2</v>
      </c>
      <c r="D28" s="9">
        <v>18</v>
      </c>
      <c r="E28" s="9">
        <v>10</v>
      </c>
      <c r="F28" s="9">
        <v>10</v>
      </c>
      <c r="G28" s="9">
        <v>13</v>
      </c>
      <c r="H28" s="9">
        <v>10</v>
      </c>
      <c r="I28" s="9">
        <v>5</v>
      </c>
      <c r="J28" s="9">
        <v>6</v>
      </c>
      <c r="K28" s="22">
        <v>5</v>
      </c>
      <c r="L28" s="9">
        <v>79</v>
      </c>
    </row>
    <row r="29" spans="1:12" x14ac:dyDescent="0.25">
      <c r="A29" s="15"/>
      <c r="B29" s="22" t="s">
        <v>29</v>
      </c>
      <c r="C29" s="10">
        <v>2.5299999999999998</v>
      </c>
      <c r="D29" s="10">
        <v>22.78</v>
      </c>
      <c r="E29" s="10">
        <v>12.66</v>
      </c>
      <c r="F29" s="10">
        <v>12.66</v>
      </c>
      <c r="G29" s="10">
        <v>16.46</v>
      </c>
      <c r="H29" s="10">
        <v>12.66</v>
      </c>
      <c r="I29" s="10">
        <v>6.33</v>
      </c>
      <c r="J29" s="10">
        <v>7.59</v>
      </c>
      <c r="K29" s="25">
        <v>6.33</v>
      </c>
      <c r="L29" s="9">
        <v>100</v>
      </c>
    </row>
    <row r="30" spans="1:12" x14ac:dyDescent="0.25">
      <c r="A30" s="15" t="s">
        <v>25</v>
      </c>
      <c r="B30" s="22" t="s">
        <v>30</v>
      </c>
      <c r="C30" s="9">
        <v>49</v>
      </c>
      <c r="D30" s="9">
        <v>162</v>
      </c>
      <c r="E30" s="9">
        <v>92</v>
      </c>
      <c r="F30" s="9">
        <v>83</v>
      </c>
      <c r="G30" s="9">
        <v>60</v>
      </c>
      <c r="H30" s="9">
        <v>53</v>
      </c>
      <c r="I30" s="9">
        <v>54</v>
      </c>
      <c r="J30" s="9">
        <v>67</v>
      </c>
      <c r="K30" s="22">
        <v>80</v>
      </c>
      <c r="L30" s="9">
        <v>700</v>
      </c>
    </row>
    <row r="31" spans="1:12" x14ac:dyDescent="0.25">
      <c r="A31" s="15"/>
      <c r="B31" s="22" t="s">
        <v>29</v>
      </c>
      <c r="C31" s="10">
        <v>7</v>
      </c>
      <c r="D31" s="10">
        <v>23.14</v>
      </c>
      <c r="E31" s="10">
        <v>13.14</v>
      </c>
      <c r="F31" s="10">
        <v>11.86</v>
      </c>
      <c r="G31" s="10">
        <v>8.57</v>
      </c>
      <c r="H31" s="10">
        <v>7.57</v>
      </c>
      <c r="I31" s="10">
        <v>7.71</v>
      </c>
      <c r="J31" s="10">
        <v>9.57</v>
      </c>
      <c r="K31" s="25">
        <v>11.43</v>
      </c>
      <c r="L31" s="9">
        <v>100</v>
      </c>
    </row>
    <row r="32" spans="1:12" x14ac:dyDescent="0.25">
      <c r="A32" s="15" t="s">
        <v>0</v>
      </c>
      <c r="B32" s="22" t="s">
        <v>30</v>
      </c>
      <c r="C32" s="9">
        <v>300</v>
      </c>
      <c r="D32" s="9">
        <v>1365</v>
      </c>
      <c r="E32" s="9">
        <v>1149</v>
      </c>
      <c r="F32" s="9">
        <v>1027</v>
      </c>
      <c r="G32" s="9">
        <v>884</v>
      </c>
      <c r="H32" s="9">
        <v>589</v>
      </c>
      <c r="I32" s="9">
        <v>411</v>
      </c>
      <c r="J32" s="9">
        <v>353</v>
      </c>
      <c r="K32" s="22">
        <v>289</v>
      </c>
      <c r="L32" s="9">
        <v>6367</v>
      </c>
    </row>
    <row r="33" spans="1:12" x14ac:dyDescent="0.25">
      <c r="A33" s="15"/>
      <c r="B33" s="17" t="s">
        <v>29</v>
      </c>
      <c r="C33" s="8">
        <v>4.71</v>
      </c>
      <c r="D33" s="8">
        <v>21.44</v>
      </c>
      <c r="E33" s="8">
        <v>18.05</v>
      </c>
      <c r="F33" s="8">
        <v>16.13</v>
      </c>
      <c r="G33" s="8">
        <v>13.88</v>
      </c>
      <c r="H33" s="8">
        <v>9.25</v>
      </c>
      <c r="I33" s="8">
        <v>6.46</v>
      </c>
      <c r="J33" s="8">
        <v>5.54</v>
      </c>
      <c r="K33" s="21">
        <v>4.54</v>
      </c>
      <c r="L33" s="7">
        <v>100</v>
      </c>
    </row>
    <row r="37" spans="1:12" x14ac:dyDescent="0.25">
      <c r="A37" s="3" t="s">
        <v>6</v>
      </c>
    </row>
    <row r="38" spans="1:12" x14ac:dyDescent="0.25">
      <c r="A38" s="78" t="s">
        <v>53</v>
      </c>
      <c r="B38" s="79" t="s">
        <v>56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</row>
    <row r="39" spans="1:12" x14ac:dyDescent="0.25">
      <c r="A39" s="78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</row>
    <row r="40" spans="1:12" x14ac:dyDescent="0.25">
      <c r="A40" s="78"/>
      <c r="B40" s="7"/>
      <c r="C40" s="7" t="s">
        <v>14</v>
      </c>
      <c r="D40" s="7" t="s">
        <v>46</v>
      </c>
      <c r="E40" s="7" t="s">
        <v>50</v>
      </c>
      <c r="F40" s="7" t="s">
        <v>17</v>
      </c>
      <c r="G40" s="7" t="s">
        <v>47</v>
      </c>
      <c r="H40" s="7" t="s">
        <v>48</v>
      </c>
      <c r="I40" s="7" t="s">
        <v>49</v>
      </c>
      <c r="J40" s="7" t="s">
        <v>51</v>
      </c>
      <c r="K40" s="7" t="s">
        <v>52</v>
      </c>
      <c r="L40" s="24" t="s">
        <v>0</v>
      </c>
    </row>
    <row r="41" spans="1:12" x14ac:dyDescent="0.25">
      <c r="A41" s="15" t="s">
        <v>31</v>
      </c>
      <c r="B41" s="18" t="s">
        <v>30</v>
      </c>
      <c r="C41" s="5">
        <v>10</v>
      </c>
      <c r="D41" s="5">
        <v>198</v>
      </c>
      <c r="E41" s="5">
        <v>280</v>
      </c>
      <c r="F41" s="5">
        <v>258</v>
      </c>
      <c r="G41" s="5">
        <v>176</v>
      </c>
      <c r="H41" s="5">
        <v>83</v>
      </c>
      <c r="I41" s="5">
        <v>53</v>
      </c>
      <c r="J41" s="5">
        <v>23</v>
      </c>
      <c r="K41" s="18">
        <v>12</v>
      </c>
      <c r="L41" s="5">
        <v>1093</v>
      </c>
    </row>
    <row r="42" spans="1:12" x14ac:dyDescent="0.25">
      <c r="A42" s="15"/>
      <c r="B42" s="22" t="s">
        <v>29</v>
      </c>
      <c r="C42" s="10">
        <v>0.91</v>
      </c>
      <c r="D42" s="10">
        <v>18.12</v>
      </c>
      <c r="E42" s="10">
        <v>25.62</v>
      </c>
      <c r="F42" s="10">
        <v>23.6</v>
      </c>
      <c r="G42" s="10">
        <v>16.100000000000001</v>
      </c>
      <c r="H42" s="10">
        <v>7.59</v>
      </c>
      <c r="I42" s="10">
        <v>4.8499999999999996</v>
      </c>
      <c r="J42" s="10">
        <v>2.1</v>
      </c>
      <c r="K42" s="25">
        <v>1.1000000000000001</v>
      </c>
      <c r="L42" s="9">
        <v>100</v>
      </c>
    </row>
    <row r="43" spans="1:12" x14ac:dyDescent="0.25">
      <c r="A43" s="15" t="s">
        <v>32</v>
      </c>
      <c r="B43" s="22" t="s">
        <v>30</v>
      </c>
      <c r="C43" s="9">
        <v>40</v>
      </c>
      <c r="D43" s="9">
        <v>149</v>
      </c>
      <c r="E43" s="9">
        <v>96</v>
      </c>
      <c r="F43" s="9">
        <v>124</v>
      </c>
      <c r="G43" s="9">
        <v>94</v>
      </c>
      <c r="H43" s="9">
        <v>61</v>
      </c>
      <c r="I43" s="9">
        <v>58</v>
      </c>
      <c r="J43" s="9">
        <v>29</v>
      </c>
      <c r="K43" s="22">
        <v>15</v>
      </c>
      <c r="L43" s="9">
        <v>666</v>
      </c>
    </row>
    <row r="44" spans="1:12" x14ac:dyDescent="0.25">
      <c r="A44" s="15"/>
      <c r="B44" s="22" t="s">
        <v>29</v>
      </c>
      <c r="C44" s="10">
        <v>6.01</v>
      </c>
      <c r="D44" s="10">
        <v>22.37</v>
      </c>
      <c r="E44" s="10">
        <v>14.41</v>
      </c>
      <c r="F44" s="10">
        <v>18.62</v>
      </c>
      <c r="G44" s="10">
        <v>14.11</v>
      </c>
      <c r="H44" s="10">
        <v>9.16</v>
      </c>
      <c r="I44" s="10">
        <v>8.7100000000000009</v>
      </c>
      <c r="J44" s="10">
        <v>4.3499999999999996</v>
      </c>
      <c r="K44" s="25">
        <v>2.25</v>
      </c>
      <c r="L44" s="9">
        <v>100</v>
      </c>
    </row>
    <row r="45" spans="1:12" x14ac:dyDescent="0.25">
      <c r="A45" s="15" t="s">
        <v>24</v>
      </c>
      <c r="B45" s="22" t="s">
        <v>30</v>
      </c>
      <c r="C45" s="9">
        <v>243</v>
      </c>
      <c r="D45" s="9">
        <v>265</v>
      </c>
      <c r="E45" s="9">
        <v>117</v>
      </c>
      <c r="F45" s="9">
        <v>97</v>
      </c>
      <c r="G45" s="9">
        <v>88</v>
      </c>
      <c r="H45" s="9">
        <v>123</v>
      </c>
      <c r="I45" s="9">
        <v>187</v>
      </c>
      <c r="J45" s="9">
        <v>151</v>
      </c>
      <c r="K45" s="22">
        <v>140</v>
      </c>
      <c r="L45" s="9">
        <v>1411</v>
      </c>
    </row>
    <row r="46" spans="1:12" x14ac:dyDescent="0.25">
      <c r="A46" s="15"/>
      <c r="B46" s="22" t="s">
        <v>29</v>
      </c>
      <c r="C46" s="10">
        <v>17.22</v>
      </c>
      <c r="D46" s="10">
        <v>18.78</v>
      </c>
      <c r="E46" s="10">
        <v>8.2899999999999991</v>
      </c>
      <c r="F46" s="10">
        <v>6.87</v>
      </c>
      <c r="G46" s="10">
        <v>6.24</v>
      </c>
      <c r="H46" s="10">
        <v>8.7200000000000006</v>
      </c>
      <c r="I46" s="10">
        <v>13.25</v>
      </c>
      <c r="J46" s="10">
        <v>10.7</v>
      </c>
      <c r="K46" s="25">
        <v>9.92</v>
      </c>
      <c r="L46" s="9">
        <v>100</v>
      </c>
    </row>
    <row r="47" spans="1:12" x14ac:dyDescent="0.25">
      <c r="A47" s="15" t="s">
        <v>33</v>
      </c>
      <c r="B47" s="22" t="s">
        <v>30</v>
      </c>
      <c r="C47" s="9">
        <v>10</v>
      </c>
      <c r="D47" s="9">
        <v>27</v>
      </c>
      <c r="E47" s="9">
        <v>11</v>
      </c>
      <c r="F47" s="9">
        <v>9</v>
      </c>
      <c r="G47" s="9">
        <v>7</v>
      </c>
      <c r="H47" s="9">
        <v>7</v>
      </c>
      <c r="I47" s="9">
        <v>10</v>
      </c>
      <c r="J47" s="9">
        <v>6</v>
      </c>
      <c r="K47" s="22">
        <v>4</v>
      </c>
      <c r="L47" s="9">
        <v>91</v>
      </c>
    </row>
    <row r="48" spans="1:12" x14ac:dyDescent="0.25">
      <c r="A48" s="15"/>
      <c r="B48" s="22" t="s">
        <v>29</v>
      </c>
      <c r="C48" s="10">
        <v>10.99</v>
      </c>
      <c r="D48" s="10">
        <v>29.67</v>
      </c>
      <c r="E48" s="10">
        <v>12.09</v>
      </c>
      <c r="F48" s="10">
        <v>9.89</v>
      </c>
      <c r="G48" s="10">
        <v>7.69</v>
      </c>
      <c r="H48" s="10">
        <v>7.69</v>
      </c>
      <c r="I48" s="10">
        <v>10.99</v>
      </c>
      <c r="J48" s="10">
        <v>6.59</v>
      </c>
      <c r="K48" s="25">
        <v>4.4000000000000004</v>
      </c>
      <c r="L48" s="9">
        <v>100</v>
      </c>
    </row>
    <row r="49" spans="1:12" x14ac:dyDescent="0.25">
      <c r="A49" s="15" t="s">
        <v>25</v>
      </c>
      <c r="B49" s="22" t="s">
        <v>30</v>
      </c>
      <c r="C49" s="9">
        <v>39</v>
      </c>
      <c r="D49" s="9">
        <v>69</v>
      </c>
      <c r="E49" s="9">
        <v>37</v>
      </c>
      <c r="F49" s="9">
        <v>32</v>
      </c>
      <c r="G49" s="9">
        <v>40</v>
      </c>
      <c r="H49" s="9">
        <v>40</v>
      </c>
      <c r="I49" s="9">
        <v>56</v>
      </c>
      <c r="J49" s="9">
        <v>58</v>
      </c>
      <c r="K49" s="22">
        <v>33</v>
      </c>
      <c r="L49" s="9">
        <v>404</v>
      </c>
    </row>
    <row r="50" spans="1:12" x14ac:dyDescent="0.25">
      <c r="A50" s="15"/>
      <c r="B50" s="22" t="s">
        <v>29</v>
      </c>
      <c r="C50" s="10">
        <v>9.65</v>
      </c>
      <c r="D50" s="10">
        <v>17.079999999999998</v>
      </c>
      <c r="E50" s="10">
        <v>9.16</v>
      </c>
      <c r="F50" s="10">
        <v>7.92</v>
      </c>
      <c r="G50" s="10">
        <v>9.9</v>
      </c>
      <c r="H50" s="10">
        <v>9.9</v>
      </c>
      <c r="I50" s="10">
        <v>13.86</v>
      </c>
      <c r="J50" s="10">
        <v>14.36</v>
      </c>
      <c r="K50" s="25">
        <v>8.17</v>
      </c>
      <c r="L50" s="9">
        <v>100</v>
      </c>
    </row>
    <row r="51" spans="1:12" x14ac:dyDescent="0.25">
      <c r="A51" s="15" t="s">
        <v>0</v>
      </c>
      <c r="B51" s="22" t="s">
        <v>30</v>
      </c>
      <c r="C51" s="9">
        <v>342</v>
      </c>
      <c r="D51" s="9">
        <v>708</v>
      </c>
      <c r="E51" s="9">
        <v>541</v>
      </c>
      <c r="F51" s="9">
        <v>520</v>
      </c>
      <c r="G51" s="9">
        <v>405</v>
      </c>
      <c r="H51" s="9">
        <v>314</v>
      </c>
      <c r="I51" s="9">
        <v>364</v>
      </c>
      <c r="J51" s="9">
        <v>267</v>
      </c>
      <c r="K51" s="22">
        <v>204</v>
      </c>
      <c r="L51" s="9">
        <v>3665</v>
      </c>
    </row>
    <row r="52" spans="1:12" x14ac:dyDescent="0.25">
      <c r="A52" s="15"/>
      <c r="B52" s="17" t="s">
        <v>29</v>
      </c>
      <c r="C52" s="8">
        <v>9.33</v>
      </c>
      <c r="D52" s="8">
        <v>19.32</v>
      </c>
      <c r="E52" s="8">
        <v>14.76</v>
      </c>
      <c r="F52" s="8">
        <v>14.19</v>
      </c>
      <c r="G52" s="8">
        <v>11.05</v>
      </c>
      <c r="H52" s="8">
        <v>8.57</v>
      </c>
      <c r="I52" s="8">
        <v>9.93</v>
      </c>
      <c r="J52" s="8">
        <v>7.29</v>
      </c>
      <c r="K52" s="21">
        <v>5.57</v>
      </c>
      <c r="L52" s="7">
        <v>100</v>
      </c>
    </row>
  </sheetData>
  <mergeCells count="7">
    <mergeCell ref="N3:R5"/>
    <mergeCell ref="A38:A40"/>
    <mergeCell ref="B38:L39"/>
    <mergeCell ref="A1:A3"/>
    <mergeCell ref="B1:L2"/>
    <mergeCell ref="A19:A21"/>
    <mergeCell ref="B19:L2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2"/>
  <sheetViews>
    <sheetView zoomScaleNormal="100" workbookViewId="0">
      <selection activeCell="M20" sqref="M20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5.28515625" bestFit="1" customWidth="1"/>
    <col min="4" max="10" width="7.42578125" bestFit="1" customWidth="1"/>
    <col min="11" max="11" width="11" bestFit="1" customWidth="1"/>
    <col min="12" max="12" width="6.7109375" bestFit="1" customWidth="1"/>
    <col min="21" max="21" width="15.28515625" bestFit="1" customWidth="1"/>
  </cols>
  <sheetData>
    <row r="1" spans="1:18" ht="15" customHeight="1" x14ac:dyDescent="0.25">
      <c r="A1" s="78" t="s">
        <v>62</v>
      </c>
      <c r="B1" s="79" t="s">
        <v>54</v>
      </c>
      <c r="C1" s="79"/>
      <c r="D1" s="79"/>
      <c r="E1" s="79"/>
      <c r="F1" s="79"/>
      <c r="G1" s="79"/>
      <c r="H1" s="79"/>
      <c r="I1" s="79"/>
      <c r="J1" s="79"/>
      <c r="K1" s="79"/>
      <c r="L1" s="79"/>
      <c r="N1" s="77" t="s">
        <v>84</v>
      </c>
      <c r="O1" s="77"/>
      <c r="P1" s="77"/>
      <c r="Q1" s="77"/>
      <c r="R1" s="77"/>
    </row>
    <row r="2" spans="1:18" x14ac:dyDescent="0.25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N2" s="77"/>
      <c r="O2" s="77"/>
      <c r="P2" s="77"/>
      <c r="Q2" s="77"/>
      <c r="R2" s="77"/>
    </row>
    <row r="3" spans="1:18" ht="15" customHeight="1" x14ac:dyDescent="0.25">
      <c r="A3" s="78"/>
      <c r="B3" s="7"/>
      <c r="C3" s="7" t="s">
        <v>14</v>
      </c>
      <c r="D3" s="7" t="s">
        <v>46</v>
      </c>
      <c r="E3" s="7" t="s">
        <v>50</v>
      </c>
      <c r="F3" s="7" t="s">
        <v>17</v>
      </c>
      <c r="G3" s="7" t="s">
        <v>47</v>
      </c>
      <c r="H3" s="7" t="s">
        <v>48</v>
      </c>
      <c r="I3" s="7" t="s">
        <v>49</v>
      </c>
      <c r="J3" s="7" t="s">
        <v>51</v>
      </c>
      <c r="K3" s="7" t="s">
        <v>52</v>
      </c>
      <c r="L3" s="24" t="s">
        <v>0</v>
      </c>
      <c r="N3" s="77"/>
      <c r="O3" s="77"/>
      <c r="P3" s="77"/>
      <c r="Q3" s="77"/>
      <c r="R3" s="77"/>
    </row>
    <row r="4" spans="1:18" x14ac:dyDescent="0.25">
      <c r="A4" s="15" t="s">
        <v>32</v>
      </c>
      <c r="B4" s="22" t="s">
        <v>30</v>
      </c>
      <c r="C4" s="9">
        <v>128</v>
      </c>
      <c r="D4" s="9">
        <v>951</v>
      </c>
      <c r="E4" s="9">
        <v>770</v>
      </c>
      <c r="F4" s="9">
        <v>596</v>
      </c>
      <c r="G4" s="9">
        <v>505</v>
      </c>
      <c r="H4" s="9">
        <v>226</v>
      </c>
      <c r="I4" s="9">
        <v>152</v>
      </c>
      <c r="J4" s="9">
        <v>63</v>
      </c>
      <c r="K4" s="22">
        <v>31</v>
      </c>
      <c r="L4" s="9">
        <f>SUM(C4:K4)</f>
        <v>3422</v>
      </c>
    </row>
    <row r="5" spans="1:18" x14ac:dyDescent="0.25">
      <c r="A5" s="15"/>
      <c r="B5" s="22" t="s">
        <v>29</v>
      </c>
      <c r="C5" s="10">
        <f>(C4/$L4)*100</f>
        <v>3.7405026300409117</v>
      </c>
      <c r="D5" s="10">
        <f t="shared" ref="D5:K5" si="0">(D4/$L4)*100</f>
        <v>27.790765634132086</v>
      </c>
      <c r="E5" s="10">
        <f t="shared" si="0"/>
        <v>22.501461133839857</v>
      </c>
      <c r="F5" s="10">
        <f t="shared" si="0"/>
        <v>17.416715371127996</v>
      </c>
      <c r="G5" s="10">
        <f t="shared" si="0"/>
        <v>14.757451782583283</v>
      </c>
      <c r="H5" s="10">
        <f t="shared" si="0"/>
        <v>6.6043249561659838</v>
      </c>
      <c r="I5" s="10">
        <f t="shared" si="0"/>
        <v>4.4418468731735832</v>
      </c>
      <c r="J5" s="10">
        <f t="shared" si="0"/>
        <v>1.8410286382232612</v>
      </c>
      <c r="K5" s="36">
        <f t="shared" si="0"/>
        <v>0.90590298071303332</v>
      </c>
      <c r="L5" s="9">
        <v>100</v>
      </c>
    </row>
    <row r="6" spans="1:18" x14ac:dyDescent="0.25">
      <c r="A6" s="15" t="s">
        <v>24</v>
      </c>
      <c r="B6" s="22" t="s">
        <v>30</v>
      </c>
      <c r="C6" s="9">
        <v>773</v>
      </c>
      <c r="D6" s="9">
        <v>1437</v>
      </c>
      <c r="E6" s="9">
        <v>1075</v>
      </c>
      <c r="F6" s="9">
        <v>1156</v>
      </c>
      <c r="G6" s="9">
        <v>1136</v>
      </c>
      <c r="H6" s="9">
        <v>771</v>
      </c>
      <c r="I6" s="9">
        <v>725</v>
      </c>
      <c r="J6" s="9">
        <v>573</v>
      </c>
      <c r="K6" s="22">
        <v>469</v>
      </c>
      <c r="L6" s="9">
        <f>SUM(C6:K6)</f>
        <v>8115</v>
      </c>
    </row>
    <row r="7" spans="1:18" x14ac:dyDescent="0.25">
      <c r="A7" s="15"/>
      <c r="B7" s="22" t="s">
        <v>29</v>
      </c>
      <c r="C7" s="10">
        <f>(C6/$L6)*100</f>
        <v>9.5255699322242755</v>
      </c>
      <c r="D7" s="10">
        <f t="shared" ref="D7" si="1">(D6/$L6)*100</f>
        <v>17.707948243992604</v>
      </c>
      <c r="E7" s="10">
        <f t="shared" ref="E7" si="2">(E6/$L6)*100</f>
        <v>13.247073321010475</v>
      </c>
      <c r="F7" s="10">
        <f t="shared" ref="F7" si="3">(F6/$L6)*100</f>
        <v>14.245224892174985</v>
      </c>
      <c r="G7" s="10">
        <f t="shared" ref="G7" si="4">(G6/$L6)*100</f>
        <v>13.998767714109672</v>
      </c>
      <c r="H7" s="10">
        <f t="shared" ref="H7" si="5">(H6/$L6)*100</f>
        <v>9.5009242144177453</v>
      </c>
      <c r="I7" s="10">
        <f t="shared" ref="I7" si="6">(I6/$L6)*100</f>
        <v>8.9340727048675301</v>
      </c>
      <c r="J7" s="10">
        <f t="shared" ref="J7" si="7">(J6/$L6)*100</f>
        <v>7.0609981515711642</v>
      </c>
      <c r="K7" s="25">
        <f t="shared" ref="K7" si="8">(K6/$L6)*100</f>
        <v>5.7794208256315471</v>
      </c>
      <c r="L7" s="9">
        <v>100</v>
      </c>
    </row>
    <row r="8" spans="1:18" x14ac:dyDescent="0.25">
      <c r="A8" s="15" t="s">
        <v>33</v>
      </c>
      <c r="B8" s="22" t="s">
        <v>30</v>
      </c>
      <c r="C8" s="9">
        <v>16</v>
      </c>
      <c r="D8" s="9">
        <v>84</v>
      </c>
      <c r="E8" s="9">
        <v>100</v>
      </c>
      <c r="F8" s="9">
        <v>91</v>
      </c>
      <c r="G8" s="9">
        <v>70</v>
      </c>
      <c r="H8" s="9">
        <v>30</v>
      </c>
      <c r="I8" s="9">
        <v>18</v>
      </c>
      <c r="J8" s="9">
        <v>13</v>
      </c>
      <c r="K8" s="22">
        <v>9</v>
      </c>
      <c r="L8" s="9">
        <f>SUM(C8:K8)</f>
        <v>431</v>
      </c>
    </row>
    <row r="9" spans="1:18" x14ac:dyDescent="0.25">
      <c r="A9" s="15"/>
      <c r="B9" s="22" t="s">
        <v>29</v>
      </c>
      <c r="C9" s="10">
        <f>(C8/$L8)*100</f>
        <v>3.7122969837587005</v>
      </c>
      <c r="D9" s="10">
        <f t="shared" ref="D9" si="9">(D8/$L8)*100</f>
        <v>19.489559164733176</v>
      </c>
      <c r="E9" s="10">
        <f t="shared" ref="E9" si="10">(E8/$L8)*100</f>
        <v>23.201856148491878</v>
      </c>
      <c r="F9" s="10">
        <f t="shared" ref="F9" si="11">(F8/$L8)*100</f>
        <v>21.113689095127611</v>
      </c>
      <c r="G9" s="10">
        <f t="shared" ref="G9" si="12">(G8/$L8)*100</f>
        <v>16.241299303944317</v>
      </c>
      <c r="H9" s="10">
        <f t="shared" ref="H9" si="13">(H8/$L8)*100</f>
        <v>6.9605568445475638</v>
      </c>
      <c r="I9" s="10">
        <f t="shared" ref="I9" si="14">(I8/$L8)*100</f>
        <v>4.1763341067285378</v>
      </c>
      <c r="J9" s="10">
        <f t="shared" ref="J9" si="15">(J8/$L8)*100</f>
        <v>3.0162412993039442</v>
      </c>
      <c r="K9" s="25">
        <f t="shared" ref="K9" si="16">(K8/$L8)*100</f>
        <v>2.0881670533642689</v>
      </c>
      <c r="L9" s="9">
        <v>100</v>
      </c>
    </row>
    <row r="10" spans="1:18" x14ac:dyDescent="0.25">
      <c r="A10" s="15" t="s">
        <v>25</v>
      </c>
      <c r="B10" s="22" t="s">
        <v>30</v>
      </c>
      <c r="C10" s="9">
        <v>186</v>
      </c>
      <c r="D10" s="9">
        <v>539</v>
      </c>
      <c r="E10" s="9">
        <v>285</v>
      </c>
      <c r="F10" s="9">
        <v>250</v>
      </c>
      <c r="G10" s="9">
        <v>265</v>
      </c>
      <c r="H10" s="9">
        <v>199</v>
      </c>
      <c r="I10" s="9">
        <v>203</v>
      </c>
      <c r="J10" s="9">
        <v>165</v>
      </c>
      <c r="K10" s="22">
        <v>139</v>
      </c>
      <c r="L10" s="9">
        <f>SUM(C10:K10)</f>
        <v>2231</v>
      </c>
    </row>
    <row r="11" spans="1:18" x14ac:dyDescent="0.25">
      <c r="A11" s="15"/>
      <c r="B11" s="22" t="s">
        <v>29</v>
      </c>
      <c r="C11" s="10">
        <f>(C10/$L10)*100</f>
        <v>8.3370685791125059</v>
      </c>
      <c r="D11" s="10">
        <f t="shared" ref="D11" si="17">(D10/$L10)*100</f>
        <v>24.159569699686241</v>
      </c>
      <c r="E11" s="10">
        <f t="shared" ref="E11" si="18">(E10/$L10)*100</f>
        <v>12.774540564769163</v>
      </c>
      <c r="F11" s="10">
        <f t="shared" ref="F11" si="19">(F10/$L10)*100</f>
        <v>11.20573733751681</v>
      </c>
      <c r="G11" s="10">
        <f t="shared" ref="G11" si="20">(G10/$L10)*100</f>
        <v>11.878081577767817</v>
      </c>
      <c r="H11" s="10">
        <f t="shared" ref="H11" si="21">(H10/$L10)*100</f>
        <v>8.9197669206633794</v>
      </c>
      <c r="I11" s="10">
        <f t="shared" ref="I11" si="22">(I10/$L10)*100</f>
        <v>9.0990587180636489</v>
      </c>
      <c r="J11" s="10">
        <f t="shared" ref="J11" si="23">(J10/$L10)*100</f>
        <v>7.3957866427610934</v>
      </c>
      <c r="K11" s="25">
        <f t="shared" ref="K11" si="24">(K10/$L10)*100</f>
        <v>6.2303899596593455</v>
      </c>
      <c r="L11" s="9">
        <v>100</v>
      </c>
    </row>
    <row r="12" spans="1:18" x14ac:dyDescent="0.25">
      <c r="A12" s="15" t="s">
        <v>0</v>
      </c>
      <c r="B12" s="22" t="s">
        <v>30</v>
      </c>
      <c r="C12" s="9">
        <f>C10+C8+C6+C4</f>
        <v>1103</v>
      </c>
      <c r="D12" s="9">
        <f t="shared" ref="D12:L12" si="25">D10+D8+D6+D4</f>
        <v>3011</v>
      </c>
      <c r="E12" s="9">
        <f t="shared" si="25"/>
        <v>2230</v>
      </c>
      <c r="F12" s="9">
        <f t="shared" si="25"/>
        <v>2093</v>
      </c>
      <c r="G12" s="9">
        <f t="shared" si="25"/>
        <v>1976</v>
      </c>
      <c r="H12" s="9">
        <f t="shared" si="25"/>
        <v>1226</v>
      </c>
      <c r="I12" s="9">
        <f t="shared" si="25"/>
        <v>1098</v>
      </c>
      <c r="J12" s="9">
        <f t="shared" si="25"/>
        <v>814</v>
      </c>
      <c r="K12" s="22">
        <f t="shared" si="25"/>
        <v>648</v>
      </c>
      <c r="L12" s="9">
        <f t="shared" si="25"/>
        <v>14199</v>
      </c>
    </row>
    <row r="13" spans="1:18" x14ac:dyDescent="0.25">
      <c r="A13" s="15"/>
      <c r="B13" s="17" t="s">
        <v>29</v>
      </c>
      <c r="C13" s="8">
        <f>(C12/$L12)*100</f>
        <v>7.7681526868089295</v>
      </c>
      <c r="D13" s="8">
        <f t="shared" ref="D13" si="26">(D12/$L12)*100</f>
        <v>21.205718712585394</v>
      </c>
      <c r="E13" s="8">
        <f t="shared" ref="E13" si="27">(E12/$L12)*100</f>
        <v>15.705331361363475</v>
      </c>
      <c r="F13" s="8">
        <f t="shared" ref="F13" si="28">(F12/$L12)*100</f>
        <v>14.740474681315586</v>
      </c>
      <c r="G13" s="8">
        <f t="shared" ref="G13" si="29">(G12/$L12)*100</f>
        <v>13.916472991055709</v>
      </c>
      <c r="H13" s="8">
        <f t="shared" ref="H13" si="30">(H12/$L12)*100</f>
        <v>8.6344108740052121</v>
      </c>
      <c r="I13" s="8">
        <f t="shared" ref="I13" si="31">(I12/$L12)*100</f>
        <v>7.7329389393619277</v>
      </c>
      <c r="J13" s="8">
        <f t="shared" ref="J13" si="32">(J12/$L12)*100</f>
        <v>5.7327980843721393</v>
      </c>
      <c r="K13" s="21">
        <f t="shared" ref="K13" si="33">(K12/$L12)*100</f>
        <v>4.5637016691316292</v>
      </c>
      <c r="L13" s="7">
        <v>100</v>
      </c>
    </row>
    <row r="14" spans="1:18" x14ac:dyDescent="0.25">
      <c r="A14" s="3" t="s">
        <v>37</v>
      </c>
    </row>
    <row r="15" spans="1:18" x14ac:dyDescent="0.25">
      <c r="A15" s="78" t="s">
        <v>53</v>
      </c>
      <c r="B15" s="79" t="s">
        <v>55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</row>
    <row r="16" spans="1:18" x14ac:dyDescent="0.25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</row>
    <row r="17" spans="1:14" x14ac:dyDescent="0.25">
      <c r="A17" s="78"/>
      <c r="B17" s="7"/>
      <c r="C17" s="7" t="s">
        <v>14</v>
      </c>
      <c r="D17" s="7" t="s">
        <v>46</v>
      </c>
      <c r="E17" s="7" t="s">
        <v>50</v>
      </c>
      <c r="F17" s="7" t="s">
        <v>17</v>
      </c>
      <c r="G17" s="7" t="s">
        <v>47</v>
      </c>
      <c r="H17" s="7" t="s">
        <v>48</v>
      </c>
      <c r="I17" s="7" t="s">
        <v>49</v>
      </c>
      <c r="J17" s="7" t="s">
        <v>51</v>
      </c>
      <c r="K17" s="7" t="s">
        <v>52</v>
      </c>
      <c r="L17" s="24" t="s">
        <v>0</v>
      </c>
    </row>
    <row r="18" spans="1:14" x14ac:dyDescent="0.25">
      <c r="A18" s="15" t="s">
        <v>32</v>
      </c>
      <c r="B18" s="22" t="s">
        <v>30</v>
      </c>
      <c r="C18" s="9">
        <v>140</v>
      </c>
      <c r="D18" s="9">
        <v>940</v>
      </c>
      <c r="E18" s="9">
        <v>735</v>
      </c>
      <c r="F18" s="9">
        <v>618</v>
      </c>
      <c r="G18" s="9">
        <v>459</v>
      </c>
      <c r="H18" s="9">
        <v>217</v>
      </c>
      <c r="I18" s="9">
        <v>100</v>
      </c>
      <c r="J18" s="9">
        <v>45</v>
      </c>
      <c r="K18" s="22">
        <v>21</v>
      </c>
      <c r="L18" s="9">
        <f>SUM(C18:K18)</f>
        <v>3275</v>
      </c>
    </row>
    <row r="19" spans="1:14" x14ac:dyDescent="0.25">
      <c r="A19" s="15"/>
      <c r="B19" s="22" t="s">
        <v>29</v>
      </c>
      <c r="C19" s="10">
        <f>(C18/$L18)*100</f>
        <v>4.2748091603053435</v>
      </c>
      <c r="D19" s="10">
        <f t="shared" ref="D19" si="34">(D18/$L18)*100</f>
        <v>28.702290076335878</v>
      </c>
      <c r="E19" s="10">
        <f t="shared" ref="E19" si="35">(E18/$L18)*100</f>
        <v>22.442748091603054</v>
      </c>
      <c r="F19" s="10">
        <f t="shared" ref="F19" si="36">(F18/$L18)*100</f>
        <v>18.870229007633586</v>
      </c>
      <c r="G19" s="10">
        <f t="shared" ref="G19" si="37">(G18/$L18)*100</f>
        <v>14.015267175572518</v>
      </c>
      <c r="H19" s="10">
        <f t="shared" ref="H19" si="38">(H18/$L18)*100</f>
        <v>6.6259541984732824</v>
      </c>
      <c r="I19" s="10">
        <f t="shared" ref="I19" si="39">(I18/$L18)*100</f>
        <v>3.0534351145038165</v>
      </c>
      <c r="J19" s="10">
        <f t="shared" ref="J19" si="40">(J18/$L18)*100</f>
        <v>1.3740458015267176</v>
      </c>
      <c r="K19" s="25">
        <f t="shared" ref="K19" si="41">(K18/$L18)*100</f>
        <v>0.64122137404580148</v>
      </c>
      <c r="L19" s="9">
        <v>100</v>
      </c>
    </row>
    <row r="20" spans="1:14" x14ac:dyDescent="0.25">
      <c r="A20" s="15" t="s">
        <v>24</v>
      </c>
      <c r="B20" s="22" t="s">
        <v>30</v>
      </c>
      <c r="C20" s="9">
        <v>476</v>
      </c>
      <c r="D20" s="9">
        <v>1279</v>
      </c>
      <c r="E20" s="9">
        <v>1310</v>
      </c>
      <c r="F20" s="9">
        <v>1500</v>
      </c>
      <c r="G20" s="9">
        <v>1497</v>
      </c>
      <c r="H20" s="9">
        <v>994</v>
      </c>
      <c r="I20" s="9">
        <v>708</v>
      </c>
      <c r="J20" s="9">
        <v>547</v>
      </c>
      <c r="K20" s="22">
        <v>400</v>
      </c>
      <c r="L20" s="9">
        <f>SUM(C20:K20)</f>
        <v>8711</v>
      </c>
      <c r="M20" t="s">
        <v>93</v>
      </c>
    </row>
    <row r="21" spans="1:14" x14ac:dyDescent="0.25">
      <c r="A21" s="15"/>
      <c r="B21" s="22" t="s">
        <v>29</v>
      </c>
      <c r="C21" s="10">
        <f>(C20/$L20)*100</f>
        <v>5.464355412696591</v>
      </c>
      <c r="D21" s="10">
        <f t="shared" ref="D21" si="42">(D20/$L20)*100</f>
        <v>14.682585237056594</v>
      </c>
      <c r="E21" s="10">
        <f t="shared" ref="E21" si="43">(E20/$L20)*100</f>
        <v>15.038457123177592</v>
      </c>
      <c r="F21" s="10">
        <f t="shared" ref="F21" si="44">(F20/$L20)*100</f>
        <v>17.219607392951442</v>
      </c>
      <c r="G21" s="10">
        <f t="shared" ref="G21" si="45">(G20/$L20)*100</f>
        <v>17.18516817816554</v>
      </c>
      <c r="H21" s="10">
        <f t="shared" ref="H21" si="46">(H20/$L20)*100</f>
        <v>11.410859832395822</v>
      </c>
      <c r="I21" s="10">
        <f t="shared" ref="I21" si="47">(I20/$L20)*100</f>
        <v>8.1276546894730792</v>
      </c>
      <c r="J21" s="10">
        <f t="shared" ref="J21" si="48">(J20/$L20)*100</f>
        <v>6.2794168292962915</v>
      </c>
      <c r="K21" s="25">
        <f t="shared" ref="K21" si="49">(K20/$L20)*100</f>
        <v>4.5918953047870508</v>
      </c>
      <c r="L21" s="9">
        <v>100</v>
      </c>
    </row>
    <row r="22" spans="1:14" x14ac:dyDescent="0.25">
      <c r="A22" s="15" t="s">
        <v>33</v>
      </c>
      <c r="B22" s="22" t="s">
        <v>30</v>
      </c>
      <c r="C22" s="9">
        <v>20</v>
      </c>
      <c r="D22" s="9">
        <v>59</v>
      </c>
      <c r="E22" s="9">
        <v>69</v>
      </c>
      <c r="F22" s="9">
        <v>44</v>
      </c>
      <c r="G22" s="9">
        <v>64</v>
      </c>
      <c r="H22" s="9">
        <v>31</v>
      </c>
      <c r="I22" s="9">
        <v>13</v>
      </c>
      <c r="J22" s="9">
        <v>13</v>
      </c>
      <c r="K22" s="22">
        <v>14</v>
      </c>
      <c r="L22" s="9">
        <f>SUM(C22:K22)</f>
        <v>327</v>
      </c>
    </row>
    <row r="23" spans="1:14" x14ac:dyDescent="0.25">
      <c r="A23" s="15"/>
      <c r="B23" s="22" t="s">
        <v>29</v>
      </c>
      <c r="C23" s="10">
        <f>(C22/$L22)*100</f>
        <v>6.1162079510703364</v>
      </c>
      <c r="D23" s="10">
        <f t="shared" ref="D23" si="50">(D22/$L22)*100</f>
        <v>18.042813455657491</v>
      </c>
      <c r="E23" s="10">
        <f t="shared" ref="E23" si="51">(E22/$L22)*100</f>
        <v>21.100917431192663</v>
      </c>
      <c r="F23" s="10">
        <f t="shared" ref="F23" si="52">(F22/$L22)*100</f>
        <v>13.455657492354739</v>
      </c>
      <c r="G23" s="10">
        <f t="shared" ref="G23" si="53">(G22/$L22)*100</f>
        <v>19.571865443425075</v>
      </c>
      <c r="H23" s="10">
        <f t="shared" ref="H23" si="54">(H22/$L22)*100</f>
        <v>9.4801223241590211</v>
      </c>
      <c r="I23" s="10">
        <f t="shared" ref="I23" si="55">(I22/$L22)*100</f>
        <v>3.9755351681957185</v>
      </c>
      <c r="J23" s="10">
        <f t="shared" ref="J23" si="56">(J22/$L22)*100</f>
        <v>3.9755351681957185</v>
      </c>
      <c r="K23" s="25">
        <f t="shared" ref="K23" si="57">(K22/$L22)*100</f>
        <v>4.281345565749235</v>
      </c>
      <c r="L23" s="9">
        <v>100</v>
      </c>
      <c r="N23" t="s">
        <v>116</v>
      </c>
    </row>
    <row r="24" spans="1:14" x14ac:dyDescent="0.25">
      <c r="A24" s="15" t="s">
        <v>25</v>
      </c>
      <c r="B24" s="22" t="s">
        <v>30</v>
      </c>
      <c r="C24" s="9">
        <v>163</v>
      </c>
      <c r="D24" s="9">
        <v>533</v>
      </c>
      <c r="E24" s="9">
        <v>306</v>
      </c>
      <c r="F24" s="9">
        <v>283</v>
      </c>
      <c r="G24" s="9">
        <v>272</v>
      </c>
      <c r="H24" s="9">
        <v>229</v>
      </c>
      <c r="I24" s="9">
        <v>184</v>
      </c>
      <c r="J24" s="9">
        <v>158</v>
      </c>
      <c r="K24" s="22">
        <v>143</v>
      </c>
      <c r="L24" s="9">
        <f>SUM(C24:K24)</f>
        <v>2271</v>
      </c>
    </row>
    <row r="25" spans="1:14" x14ac:dyDescent="0.25">
      <c r="A25" s="15"/>
      <c r="B25" s="22" t="s">
        <v>29</v>
      </c>
      <c r="C25" s="10">
        <f>(C24/$L24)*100</f>
        <v>7.1774548656979302</v>
      </c>
      <c r="D25" s="10">
        <f t="shared" ref="D25" si="58">(D24/$L24)*100</f>
        <v>23.469837076177896</v>
      </c>
      <c r="E25" s="10">
        <f t="shared" ref="E25" si="59">(E24/$L24)*100</f>
        <v>13.474240422721268</v>
      </c>
      <c r="F25" s="10">
        <f t="shared" ref="F25" si="60">(F24/$L24)*100</f>
        <v>12.461470717745486</v>
      </c>
      <c r="G25" s="10">
        <f t="shared" ref="G25" si="61">(G24/$L24)*100</f>
        <v>11.977102597974461</v>
      </c>
      <c r="H25" s="10">
        <f t="shared" ref="H25" si="62">(H24/$L24)*100</f>
        <v>10.083663584324086</v>
      </c>
      <c r="I25" s="10">
        <f t="shared" ref="I25" si="63">(I24/$L24)*100</f>
        <v>8.1021576398062525</v>
      </c>
      <c r="J25" s="10">
        <f t="shared" ref="J25" si="64">(J24/$L24)*100</f>
        <v>6.9572875385292816</v>
      </c>
      <c r="K25" s="25">
        <f t="shared" ref="K25" si="65">(K24/$L24)*100</f>
        <v>6.2967855570233375</v>
      </c>
      <c r="L25" s="9">
        <v>100</v>
      </c>
    </row>
    <row r="26" spans="1:14" x14ac:dyDescent="0.25">
      <c r="A26" s="15" t="s">
        <v>0</v>
      </c>
      <c r="B26" s="22" t="s">
        <v>30</v>
      </c>
      <c r="C26" s="9">
        <f t="shared" ref="C26:K26" si="66">C24+C22+C20+C18</f>
        <v>799</v>
      </c>
      <c r="D26" s="9">
        <f t="shared" si="66"/>
        <v>2811</v>
      </c>
      <c r="E26" s="9">
        <f t="shared" si="66"/>
        <v>2420</v>
      </c>
      <c r="F26" s="9">
        <f t="shared" si="66"/>
        <v>2445</v>
      </c>
      <c r="G26" s="9">
        <f t="shared" si="66"/>
        <v>2292</v>
      </c>
      <c r="H26" s="9">
        <f t="shared" si="66"/>
        <v>1471</v>
      </c>
      <c r="I26" s="9">
        <f t="shared" si="66"/>
        <v>1005</v>
      </c>
      <c r="J26" s="9">
        <f t="shared" si="66"/>
        <v>763</v>
      </c>
      <c r="K26" s="22">
        <f t="shared" si="66"/>
        <v>578</v>
      </c>
      <c r="L26" s="9">
        <f>SUM(C26:K26)</f>
        <v>14584</v>
      </c>
    </row>
    <row r="27" spans="1:14" x14ac:dyDescent="0.25">
      <c r="A27" s="15"/>
      <c r="B27" s="17" t="s">
        <v>29</v>
      </c>
      <c r="C27" s="8">
        <f>(C26/$L26)*100</f>
        <v>5.4786066922654966</v>
      </c>
      <c r="D27" s="8">
        <f t="shared" ref="D27" si="67">(D26/$L26)*100</f>
        <v>19.274547449259462</v>
      </c>
      <c r="E27" s="8">
        <f t="shared" ref="E27" si="68">(E26/$L26)*100</f>
        <v>16.593527153044434</v>
      </c>
      <c r="F27" s="8">
        <f t="shared" ref="F27" si="69">(F26/$L26)*100</f>
        <v>16.764947888096543</v>
      </c>
      <c r="G27" s="8">
        <f t="shared" ref="G27" si="70">(G26/$L26)*100</f>
        <v>15.71585298957762</v>
      </c>
      <c r="H27" s="8">
        <f t="shared" ref="H27" si="71">(H26/$L26)*100</f>
        <v>10.086396050466265</v>
      </c>
      <c r="I27" s="8">
        <f t="shared" ref="I27" si="72">(I26/$L26)*100</f>
        <v>6.8911135490948991</v>
      </c>
      <c r="J27" s="8">
        <f t="shared" ref="J27" si="73">(J26/$L26)*100</f>
        <v>5.2317608337904549</v>
      </c>
      <c r="K27" s="21">
        <f t="shared" ref="K27" si="74">(K26/$L26)*100</f>
        <v>3.963247394404827</v>
      </c>
      <c r="L27" s="7">
        <v>100</v>
      </c>
    </row>
    <row r="28" spans="1:14" x14ac:dyDescent="0.25">
      <c r="A28" s="3" t="s">
        <v>6</v>
      </c>
    </row>
    <row r="29" spans="1:14" x14ac:dyDescent="0.25">
      <c r="A29" s="78" t="s">
        <v>53</v>
      </c>
      <c r="B29" s="79" t="s">
        <v>56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</row>
    <row r="30" spans="1:14" x14ac:dyDescent="0.25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</row>
    <row r="31" spans="1:14" x14ac:dyDescent="0.25">
      <c r="A31" s="78"/>
      <c r="B31" s="7"/>
      <c r="C31" s="7" t="s">
        <v>14</v>
      </c>
      <c r="D31" s="7" t="s">
        <v>46</v>
      </c>
      <c r="E31" s="7" t="s">
        <v>50</v>
      </c>
      <c r="F31" s="7" t="s">
        <v>17</v>
      </c>
      <c r="G31" s="7" t="s">
        <v>47</v>
      </c>
      <c r="H31" s="7" t="s">
        <v>48</v>
      </c>
      <c r="I31" s="7" t="s">
        <v>49</v>
      </c>
      <c r="J31" s="7" t="s">
        <v>51</v>
      </c>
      <c r="K31" s="7" t="s">
        <v>52</v>
      </c>
      <c r="L31" s="24" t="s">
        <v>0</v>
      </c>
    </row>
    <row r="32" spans="1:14" x14ac:dyDescent="0.25">
      <c r="A32" s="15" t="s">
        <v>32</v>
      </c>
      <c r="B32" s="22" t="s">
        <v>30</v>
      </c>
      <c r="C32" s="9">
        <v>97</v>
      </c>
      <c r="D32" s="9">
        <v>399</v>
      </c>
      <c r="E32" s="9">
        <v>344</v>
      </c>
      <c r="F32" s="9">
        <v>300</v>
      </c>
      <c r="G32" s="9">
        <v>276</v>
      </c>
      <c r="H32" s="9">
        <v>144</v>
      </c>
      <c r="I32" s="9">
        <v>143</v>
      </c>
      <c r="J32" s="9">
        <v>42</v>
      </c>
      <c r="K32" s="22">
        <v>16</v>
      </c>
      <c r="L32" s="9">
        <f>SUM(C32:K32)</f>
        <v>1761</v>
      </c>
    </row>
    <row r="33" spans="1:12" x14ac:dyDescent="0.25">
      <c r="A33" s="15"/>
      <c r="B33" s="22" t="s">
        <v>29</v>
      </c>
      <c r="C33" s="10">
        <f>(C32/$L32)*100</f>
        <v>5.5082339579784216</v>
      </c>
      <c r="D33" s="10">
        <f t="shared" ref="D33" si="75">(D32/$L32)*100</f>
        <v>22.657580919931856</v>
      </c>
      <c r="E33" s="10">
        <f t="shared" ref="E33" si="76">(E32/$L32)*100</f>
        <v>19.534355479841</v>
      </c>
      <c r="F33" s="10">
        <f t="shared" ref="F33" si="77">(F32/$L32)*100</f>
        <v>17.035775127768314</v>
      </c>
      <c r="G33" s="10">
        <f t="shared" ref="G33" si="78">(G32/$L32)*100</f>
        <v>15.67291311754685</v>
      </c>
      <c r="H33" s="10">
        <f t="shared" ref="H33" si="79">(H32/$L32)*100</f>
        <v>8.1771720613287897</v>
      </c>
      <c r="I33" s="10">
        <f t="shared" ref="I33" si="80">(I32/$L32)*100</f>
        <v>8.1203861442362282</v>
      </c>
      <c r="J33" s="10">
        <f t="shared" ref="J33" si="81">(J32/$L32)*100</f>
        <v>2.385008517887564</v>
      </c>
      <c r="K33" s="25">
        <f t="shared" ref="K33" si="82">(K32/$L32)*100</f>
        <v>0.90857467348097676</v>
      </c>
      <c r="L33" s="9">
        <v>100</v>
      </c>
    </row>
    <row r="34" spans="1:12" x14ac:dyDescent="0.25">
      <c r="A34" s="15" t="s">
        <v>24</v>
      </c>
      <c r="B34" s="22" t="s">
        <v>30</v>
      </c>
      <c r="C34" s="9">
        <v>581</v>
      </c>
      <c r="D34" s="9">
        <v>681</v>
      </c>
      <c r="E34" s="9">
        <v>297</v>
      </c>
      <c r="F34" s="9">
        <v>236</v>
      </c>
      <c r="G34" s="9">
        <v>197</v>
      </c>
      <c r="H34" s="9">
        <v>247</v>
      </c>
      <c r="I34" s="9">
        <v>322</v>
      </c>
      <c r="J34" s="9">
        <v>334</v>
      </c>
      <c r="K34" s="22">
        <v>216</v>
      </c>
      <c r="L34" s="9">
        <f>SUM(C34:K34)</f>
        <v>3111</v>
      </c>
    </row>
    <row r="35" spans="1:12" x14ac:dyDescent="0.25">
      <c r="A35" s="15"/>
      <c r="B35" s="22" t="s">
        <v>29</v>
      </c>
      <c r="C35" s="10">
        <f>(C34/$L34)*100</f>
        <v>18.675666988106716</v>
      </c>
      <c r="D35" s="10">
        <f t="shared" ref="D35" si="83">(D34/$L34)*100</f>
        <v>21.890067502410801</v>
      </c>
      <c r="E35" s="10">
        <f t="shared" ref="E35" si="84">(E34/$L34)*100</f>
        <v>9.546769527483125</v>
      </c>
      <c r="F35" s="10">
        <f t="shared" ref="F35" si="85">(F34/$L34)*100</f>
        <v>7.5859852137576347</v>
      </c>
      <c r="G35" s="10">
        <f t="shared" ref="G35" si="86">(G34/$L34)*100</f>
        <v>6.3323690131790427</v>
      </c>
      <c r="H35" s="10">
        <f t="shared" ref="H35" si="87">(H34/$L34)*100</f>
        <v>7.9395692703310834</v>
      </c>
      <c r="I35" s="10">
        <f t="shared" ref="I35" si="88">(I34/$L34)*100</f>
        <v>10.350369656059145</v>
      </c>
      <c r="J35" s="10">
        <f t="shared" ref="J35" si="89">(J34/$L34)*100</f>
        <v>10.736097717775635</v>
      </c>
      <c r="K35" s="25">
        <f t="shared" ref="K35" si="90">(K34/$L34)*100</f>
        <v>6.9431051108968171</v>
      </c>
      <c r="L35" s="9">
        <v>100</v>
      </c>
    </row>
    <row r="36" spans="1:12" x14ac:dyDescent="0.25">
      <c r="A36" s="15" t="s">
        <v>33</v>
      </c>
      <c r="B36" s="22" t="s">
        <v>30</v>
      </c>
      <c r="C36" s="9">
        <v>21</v>
      </c>
      <c r="D36" s="9">
        <v>64</v>
      </c>
      <c r="E36" s="9">
        <v>60</v>
      </c>
      <c r="F36" s="9">
        <v>55</v>
      </c>
      <c r="G36" s="9">
        <v>44</v>
      </c>
      <c r="H36" s="9">
        <v>31</v>
      </c>
      <c r="I36" s="9">
        <v>14</v>
      </c>
      <c r="J36" s="9">
        <v>13</v>
      </c>
      <c r="K36" s="22">
        <v>7</v>
      </c>
      <c r="L36" s="9">
        <f>SUM(C36:K36)</f>
        <v>309</v>
      </c>
    </row>
    <row r="37" spans="1:12" x14ac:dyDescent="0.25">
      <c r="A37" s="15"/>
      <c r="B37" s="22" t="s">
        <v>29</v>
      </c>
      <c r="C37" s="10">
        <f>(C36/$L36)*100</f>
        <v>6.7961165048543686</v>
      </c>
      <c r="D37" s="10">
        <f t="shared" ref="D37" si="91">(D36/$L36)*100</f>
        <v>20.711974110032365</v>
      </c>
      <c r="E37" s="10">
        <f t="shared" ref="E37" si="92">(E36/$L36)*100</f>
        <v>19.417475728155338</v>
      </c>
      <c r="F37" s="10">
        <f t="shared" ref="F37" si="93">(F36/$L36)*100</f>
        <v>17.79935275080906</v>
      </c>
      <c r="G37" s="10">
        <f t="shared" ref="G37" si="94">(G36/$L36)*100</f>
        <v>14.239482200647249</v>
      </c>
      <c r="H37" s="10">
        <f t="shared" ref="H37" si="95">(H36/$L36)*100</f>
        <v>10.032362459546926</v>
      </c>
      <c r="I37" s="10">
        <f t="shared" ref="I37" si="96">(I36/$L36)*100</f>
        <v>4.5307443365695796</v>
      </c>
      <c r="J37" s="10">
        <f t="shared" ref="J37" si="97">(J36/$L36)*100</f>
        <v>4.2071197411003238</v>
      </c>
      <c r="K37" s="25">
        <f t="shared" ref="K37" si="98">(K36/$L36)*100</f>
        <v>2.2653721682847898</v>
      </c>
      <c r="L37" s="9">
        <v>100</v>
      </c>
    </row>
    <row r="38" spans="1:12" x14ac:dyDescent="0.25">
      <c r="A38" s="15" t="s">
        <v>25</v>
      </c>
      <c r="B38" s="22" t="s">
        <v>30</v>
      </c>
      <c r="C38" s="9">
        <v>112</v>
      </c>
      <c r="D38" s="9">
        <v>248</v>
      </c>
      <c r="E38" s="9">
        <v>138</v>
      </c>
      <c r="F38" s="9">
        <v>102</v>
      </c>
      <c r="G38" s="9">
        <v>111</v>
      </c>
      <c r="H38" s="9">
        <v>103</v>
      </c>
      <c r="I38" s="9">
        <v>125</v>
      </c>
      <c r="J38" s="9">
        <v>103</v>
      </c>
      <c r="K38" s="22">
        <v>71</v>
      </c>
      <c r="L38" s="9">
        <f>SUM(C38:K38)</f>
        <v>1113</v>
      </c>
    </row>
    <row r="39" spans="1:12" x14ac:dyDescent="0.25">
      <c r="A39" s="15"/>
      <c r="B39" s="22" t="s">
        <v>29</v>
      </c>
      <c r="C39" s="10">
        <f>(C38/$L38)*100</f>
        <v>10.062893081761008</v>
      </c>
      <c r="D39" s="10">
        <f t="shared" ref="D39" si="99">(D38/$L38)*100</f>
        <v>22.282120395327944</v>
      </c>
      <c r="E39" s="10">
        <f t="shared" ref="E39" si="100">(E38/$L38)*100</f>
        <v>12.398921832884097</v>
      </c>
      <c r="F39" s="10">
        <f t="shared" ref="F39" si="101">(F38/$L38)*100</f>
        <v>9.1644204851752029</v>
      </c>
      <c r="G39" s="10">
        <f t="shared" ref="G39" si="102">(G38/$L38)*100</f>
        <v>9.9730458221024261</v>
      </c>
      <c r="H39" s="10">
        <f t="shared" ref="H39" si="103">(H38/$L38)*100</f>
        <v>9.2542677448337827</v>
      </c>
      <c r="I39" s="10">
        <f t="shared" ref="I39" si="104">(I38/$L38)*100</f>
        <v>11.230907457322552</v>
      </c>
      <c r="J39" s="10">
        <f t="shared" ref="J39" si="105">(J38/$L38)*100</f>
        <v>9.2542677448337827</v>
      </c>
      <c r="K39" s="25">
        <f t="shared" ref="K39" si="106">(K38/$L38)*100</f>
        <v>6.3791554357592091</v>
      </c>
      <c r="L39" s="9">
        <v>100</v>
      </c>
    </row>
    <row r="40" spans="1:12" x14ac:dyDescent="0.25">
      <c r="A40" s="15" t="s">
        <v>0</v>
      </c>
      <c r="B40" s="22" t="s">
        <v>30</v>
      </c>
      <c r="C40" s="9">
        <f t="shared" ref="C40:K40" si="107">C38+C36+C34+C32</f>
        <v>811</v>
      </c>
      <c r="D40" s="9">
        <f t="shared" si="107"/>
        <v>1392</v>
      </c>
      <c r="E40" s="9">
        <f t="shared" si="107"/>
        <v>839</v>
      </c>
      <c r="F40" s="9">
        <f t="shared" si="107"/>
        <v>693</v>
      </c>
      <c r="G40" s="9">
        <f t="shared" si="107"/>
        <v>628</v>
      </c>
      <c r="H40" s="9">
        <f t="shared" si="107"/>
        <v>525</v>
      </c>
      <c r="I40" s="9">
        <f t="shared" si="107"/>
        <v>604</v>
      </c>
      <c r="J40" s="9">
        <f t="shared" si="107"/>
        <v>492</v>
      </c>
      <c r="K40" s="22">
        <f t="shared" si="107"/>
        <v>310</v>
      </c>
      <c r="L40" s="9">
        <f>SUM(C40:K40)</f>
        <v>6294</v>
      </c>
    </row>
    <row r="41" spans="1:12" x14ac:dyDescent="0.25">
      <c r="A41" s="15"/>
      <c r="B41" s="17" t="s">
        <v>29</v>
      </c>
      <c r="C41" s="8">
        <f>(C40/$L40)*100</f>
        <v>12.885287575468702</v>
      </c>
      <c r="D41" s="8">
        <f t="shared" ref="D41" si="108">(D40/$L40)*100</f>
        <v>22.116301239275501</v>
      </c>
      <c r="E41" s="8">
        <f t="shared" ref="E41" si="109">(E40/$L40)*100</f>
        <v>13.330155703844932</v>
      </c>
      <c r="F41" s="8">
        <f t="shared" ref="F41" si="110">(F40/$L40)*100</f>
        <v>11.010486177311725</v>
      </c>
      <c r="G41" s="8">
        <f t="shared" ref="G41" si="111">(G40/$L40)*100</f>
        <v>9.9777565935811889</v>
      </c>
      <c r="H41" s="8">
        <f t="shared" ref="H41" si="112">(H40/$L40)*100</f>
        <v>8.3412774070543367</v>
      </c>
      <c r="I41" s="8">
        <f t="shared" ref="I41" si="113">(I40/$L40)*100</f>
        <v>9.5964410549729902</v>
      </c>
      <c r="J41" s="8">
        <f t="shared" ref="J41" si="114">(J40/$L40)*100</f>
        <v>7.8169685414680652</v>
      </c>
      <c r="K41" s="21">
        <f t="shared" ref="K41" si="115">(K40/$L40)*100</f>
        <v>4.9253257070225613</v>
      </c>
      <c r="L41" s="7">
        <v>100</v>
      </c>
    </row>
    <row r="42" spans="1:12" x14ac:dyDescent="0.25">
      <c r="A42" t="s">
        <v>98</v>
      </c>
    </row>
  </sheetData>
  <mergeCells count="7">
    <mergeCell ref="A29:A31"/>
    <mergeCell ref="B29:L30"/>
    <mergeCell ref="N1:R3"/>
    <mergeCell ref="A1:A3"/>
    <mergeCell ref="B1:L2"/>
    <mergeCell ref="A15:A17"/>
    <mergeCell ref="B15:L16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2:L12 C26:K26 C40:K40" formula="1"/>
  </ignoredError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7"/>
  <sheetViews>
    <sheetView zoomScale="85" zoomScaleNormal="85" workbookViewId="0">
      <selection activeCell="I6" sqref="I6"/>
    </sheetView>
  </sheetViews>
  <sheetFormatPr defaultRowHeight="15" x14ac:dyDescent="0.25"/>
  <cols>
    <col min="1" max="1" width="10.28515625" bestFit="1" customWidth="1"/>
    <col min="3" max="3" width="10.28515625" bestFit="1" customWidth="1"/>
    <col min="4" max="4" width="19.28515625" bestFit="1" customWidth="1"/>
    <col min="5" max="5" width="11.85546875" bestFit="1" customWidth="1"/>
    <col min="6" max="6" width="7" bestFit="1" customWidth="1"/>
    <col min="7" max="7" width="12" bestFit="1" customWidth="1"/>
    <col min="8" max="8" width="7.42578125" bestFit="1" customWidth="1"/>
  </cols>
  <sheetData>
    <row r="1" spans="1:14" ht="15" customHeight="1" x14ac:dyDescent="0.25">
      <c r="A1" s="78" t="s">
        <v>65</v>
      </c>
      <c r="B1" s="79" t="s">
        <v>35</v>
      </c>
      <c r="C1" s="79"/>
      <c r="D1" s="79"/>
      <c r="E1" s="79"/>
      <c r="F1" s="79"/>
      <c r="G1" s="79"/>
      <c r="H1" s="79"/>
    </row>
    <row r="2" spans="1:14" ht="15" customHeight="1" x14ac:dyDescent="0.25">
      <c r="A2" s="78"/>
      <c r="B2" s="79"/>
      <c r="C2" s="79"/>
      <c r="D2" s="79"/>
      <c r="E2" s="79"/>
      <c r="F2" s="79"/>
      <c r="G2" s="79"/>
      <c r="H2" s="79"/>
    </row>
    <row r="3" spans="1:14" x14ac:dyDescent="0.25">
      <c r="A3" s="32"/>
      <c r="B3" s="7"/>
      <c r="C3" s="17" t="s">
        <v>24</v>
      </c>
      <c r="D3" s="17" t="s">
        <v>31</v>
      </c>
      <c r="E3" s="17" t="s">
        <v>32</v>
      </c>
      <c r="F3" s="17" t="s">
        <v>34</v>
      </c>
      <c r="G3" s="17" t="s">
        <v>33</v>
      </c>
      <c r="H3" s="17" t="s">
        <v>0</v>
      </c>
      <c r="J3" s="76" t="s">
        <v>83</v>
      </c>
      <c r="K3" s="76"/>
      <c r="L3" s="76"/>
      <c r="M3" s="76"/>
      <c r="N3" s="76"/>
    </row>
    <row r="4" spans="1:14" x14ac:dyDescent="0.25">
      <c r="A4" s="15" t="s">
        <v>14</v>
      </c>
      <c r="B4" s="16" t="s">
        <v>30</v>
      </c>
      <c r="C4" s="16">
        <v>448</v>
      </c>
      <c r="D4" s="16">
        <v>17</v>
      </c>
      <c r="E4" s="16">
        <v>77</v>
      </c>
      <c r="F4" s="16">
        <v>88</v>
      </c>
      <c r="G4" s="16">
        <v>12</v>
      </c>
      <c r="H4" s="16">
        <v>642</v>
      </c>
      <c r="J4" s="76"/>
      <c r="K4" s="76"/>
      <c r="L4" s="76"/>
      <c r="M4" s="76"/>
      <c r="N4" s="76"/>
    </row>
    <row r="5" spans="1:14" x14ac:dyDescent="0.25">
      <c r="A5" s="15"/>
      <c r="B5" s="22" t="s">
        <v>29</v>
      </c>
      <c r="C5" s="25">
        <v>69.78</v>
      </c>
      <c r="D5" s="25">
        <v>2.65</v>
      </c>
      <c r="E5" s="25">
        <v>11.99</v>
      </c>
      <c r="F5" s="25">
        <v>13.71</v>
      </c>
      <c r="G5" s="25">
        <v>1.87</v>
      </c>
      <c r="H5" s="34">
        <v>100</v>
      </c>
      <c r="J5" s="76"/>
      <c r="K5" s="76"/>
      <c r="L5" s="76"/>
      <c r="M5" s="76"/>
      <c r="N5" s="76"/>
    </row>
    <row r="6" spans="1:14" x14ac:dyDescent="0.25">
      <c r="A6" s="15" t="s">
        <v>46</v>
      </c>
      <c r="B6" s="22" t="s">
        <v>30</v>
      </c>
      <c r="C6" s="22">
        <v>636</v>
      </c>
      <c r="D6" s="22">
        <v>697</v>
      </c>
      <c r="E6" s="22">
        <v>464</v>
      </c>
      <c r="F6" s="22">
        <v>231</v>
      </c>
      <c r="G6" s="22">
        <v>45</v>
      </c>
      <c r="H6" s="22">
        <v>2073</v>
      </c>
    </row>
    <row r="7" spans="1:14" x14ac:dyDescent="0.25">
      <c r="A7" s="15"/>
      <c r="B7" s="22" t="s">
        <v>29</v>
      </c>
      <c r="C7" s="25">
        <v>30.68</v>
      </c>
      <c r="D7" s="25">
        <v>33.619999999999997</v>
      </c>
      <c r="E7" s="25">
        <v>22.38</v>
      </c>
      <c r="F7" s="25">
        <v>11.14</v>
      </c>
      <c r="G7" s="25">
        <v>2.17</v>
      </c>
      <c r="H7" s="34">
        <v>100</v>
      </c>
    </row>
    <row r="8" spans="1:14" x14ac:dyDescent="0.25">
      <c r="A8" s="15" t="s">
        <v>50</v>
      </c>
      <c r="B8" s="22" t="s">
        <v>30</v>
      </c>
      <c r="C8" s="22">
        <v>494</v>
      </c>
      <c r="D8" s="22">
        <v>725</v>
      </c>
      <c r="E8" s="22">
        <v>321</v>
      </c>
      <c r="F8" s="22">
        <v>129</v>
      </c>
      <c r="G8" s="22">
        <v>21</v>
      </c>
      <c r="H8" s="22">
        <v>1690</v>
      </c>
    </row>
    <row r="9" spans="1:14" x14ac:dyDescent="0.25">
      <c r="A9" s="15"/>
      <c r="B9" s="22" t="s">
        <v>29</v>
      </c>
      <c r="C9" s="25">
        <v>29.23</v>
      </c>
      <c r="D9" s="25">
        <v>42.9</v>
      </c>
      <c r="E9" s="25">
        <v>18.989999999999998</v>
      </c>
      <c r="F9" s="25">
        <v>7.63</v>
      </c>
      <c r="G9" s="25">
        <v>1.24</v>
      </c>
      <c r="H9" s="34">
        <v>100</v>
      </c>
    </row>
    <row r="10" spans="1:14" x14ac:dyDescent="0.25">
      <c r="A10" s="15" t="s">
        <v>17</v>
      </c>
      <c r="B10" s="22" t="s">
        <v>30</v>
      </c>
      <c r="C10" s="22">
        <v>506</v>
      </c>
      <c r="D10" s="22">
        <v>620</v>
      </c>
      <c r="E10" s="22">
        <v>287</v>
      </c>
      <c r="F10" s="22">
        <v>115</v>
      </c>
      <c r="G10" s="22">
        <v>19</v>
      </c>
      <c r="H10" s="22">
        <v>1547</v>
      </c>
    </row>
    <row r="11" spans="1:14" x14ac:dyDescent="0.25">
      <c r="A11" s="15"/>
      <c r="B11" s="22" t="s">
        <v>29</v>
      </c>
      <c r="C11" s="25">
        <v>32.71</v>
      </c>
      <c r="D11" s="25">
        <v>40.08</v>
      </c>
      <c r="E11" s="25">
        <v>18.55</v>
      </c>
      <c r="F11" s="25">
        <v>7.43</v>
      </c>
      <c r="G11" s="25">
        <v>1.23</v>
      </c>
      <c r="H11" s="34">
        <v>100</v>
      </c>
    </row>
    <row r="12" spans="1:14" x14ac:dyDescent="0.25">
      <c r="A12" s="15" t="s">
        <v>47</v>
      </c>
      <c r="B12" s="22" t="s">
        <v>30</v>
      </c>
      <c r="C12" s="22">
        <v>488</v>
      </c>
      <c r="D12" s="22">
        <v>463</v>
      </c>
      <c r="E12" s="22">
        <v>218</v>
      </c>
      <c r="F12" s="22">
        <v>100</v>
      </c>
      <c r="G12" s="22">
        <v>20</v>
      </c>
      <c r="H12" s="22">
        <v>1289</v>
      </c>
    </row>
    <row r="13" spans="1:14" x14ac:dyDescent="0.25">
      <c r="A13" s="15"/>
      <c r="B13" s="22" t="s">
        <v>29</v>
      </c>
      <c r="C13" s="25">
        <v>37.86</v>
      </c>
      <c r="D13" s="25">
        <v>35.92</v>
      </c>
      <c r="E13" s="25">
        <v>16.91</v>
      </c>
      <c r="F13" s="25">
        <v>7.76</v>
      </c>
      <c r="G13" s="25">
        <v>1.55</v>
      </c>
      <c r="H13" s="34">
        <v>100</v>
      </c>
    </row>
    <row r="14" spans="1:14" x14ac:dyDescent="0.25">
      <c r="A14" s="15" t="s">
        <v>48</v>
      </c>
      <c r="B14" s="22" t="s">
        <v>30</v>
      </c>
      <c r="C14" s="22">
        <v>417</v>
      </c>
      <c r="D14" s="22">
        <v>234</v>
      </c>
      <c r="E14" s="22">
        <v>142</v>
      </c>
      <c r="F14" s="22">
        <v>93</v>
      </c>
      <c r="G14" s="22">
        <v>17</v>
      </c>
      <c r="H14" s="22">
        <v>903</v>
      </c>
    </row>
    <row r="15" spans="1:14" x14ac:dyDescent="0.25">
      <c r="A15" s="15"/>
      <c r="B15" s="22" t="s">
        <v>29</v>
      </c>
      <c r="C15" s="25">
        <v>46.18</v>
      </c>
      <c r="D15" s="25">
        <v>25.91</v>
      </c>
      <c r="E15" s="25">
        <v>15.73</v>
      </c>
      <c r="F15" s="25">
        <v>10.3</v>
      </c>
      <c r="G15" s="25">
        <v>1.88</v>
      </c>
      <c r="H15" s="34">
        <v>100</v>
      </c>
    </row>
    <row r="16" spans="1:14" x14ac:dyDescent="0.25">
      <c r="A16" s="15" t="s">
        <v>49</v>
      </c>
      <c r="B16" s="22" t="s">
        <v>30</v>
      </c>
      <c r="C16" s="22">
        <v>456</v>
      </c>
      <c r="D16" s="22">
        <v>95</v>
      </c>
      <c r="E16" s="22">
        <v>99</v>
      </c>
      <c r="F16" s="22">
        <v>110</v>
      </c>
      <c r="G16" s="22">
        <v>15</v>
      </c>
      <c r="H16" s="22">
        <v>775</v>
      </c>
    </row>
    <row r="17" spans="1:8" x14ac:dyDescent="0.25">
      <c r="A17" s="15"/>
      <c r="B17" s="22" t="s">
        <v>29</v>
      </c>
      <c r="C17" s="25">
        <v>58.84</v>
      </c>
      <c r="D17" s="25">
        <v>12.26</v>
      </c>
      <c r="E17" s="25">
        <v>12.77</v>
      </c>
      <c r="F17" s="25">
        <v>14.19</v>
      </c>
      <c r="G17" s="25">
        <v>1.94</v>
      </c>
      <c r="H17" s="34">
        <v>100</v>
      </c>
    </row>
    <row r="18" spans="1:8" x14ac:dyDescent="0.25">
      <c r="A18" s="15" t="s">
        <v>51</v>
      </c>
      <c r="B18" s="22" t="s">
        <v>30</v>
      </c>
      <c r="C18" s="22">
        <v>384</v>
      </c>
      <c r="D18" s="22">
        <v>49</v>
      </c>
      <c r="E18" s="22">
        <v>50</v>
      </c>
      <c r="F18" s="22">
        <v>125</v>
      </c>
      <c r="G18" s="22">
        <v>12</v>
      </c>
      <c r="H18" s="22">
        <v>620</v>
      </c>
    </row>
    <row r="19" spans="1:8" x14ac:dyDescent="0.25">
      <c r="A19" s="15"/>
      <c r="B19" s="22" t="s">
        <v>29</v>
      </c>
      <c r="C19" s="25">
        <v>61.94</v>
      </c>
      <c r="D19" s="25">
        <v>7.9</v>
      </c>
      <c r="E19" s="25">
        <v>8.06</v>
      </c>
      <c r="F19" s="25">
        <v>20.16</v>
      </c>
      <c r="G19" s="25">
        <v>1.94</v>
      </c>
      <c r="H19" s="34">
        <v>100</v>
      </c>
    </row>
    <row r="20" spans="1:8" x14ac:dyDescent="0.25">
      <c r="A20" s="15" t="s">
        <v>52</v>
      </c>
      <c r="B20" s="22" t="s">
        <v>30</v>
      </c>
      <c r="C20" s="22">
        <v>328</v>
      </c>
      <c r="D20" s="22">
        <v>20</v>
      </c>
      <c r="E20" s="22">
        <v>23</v>
      </c>
      <c r="F20" s="22">
        <v>113</v>
      </c>
      <c r="G20" s="22">
        <v>9</v>
      </c>
      <c r="H20" s="22">
        <v>493</v>
      </c>
    </row>
    <row r="21" spans="1:8" x14ac:dyDescent="0.25">
      <c r="A21" s="15"/>
      <c r="B21" s="22" t="s">
        <v>29</v>
      </c>
      <c r="C21" s="25">
        <v>66.53</v>
      </c>
      <c r="D21" s="25">
        <v>4.0599999999999996</v>
      </c>
      <c r="E21" s="25">
        <v>4.67</v>
      </c>
      <c r="F21" s="25">
        <v>22.92</v>
      </c>
      <c r="G21" s="25">
        <v>1.83</v>
      </c>
      <c r="H21" s="34">
        <v>100</v>
      </c>
    </row>
    <row r="22" spans="1:8" x14ac:dyDescent="0.25">
      <c r="A22" s="15" t="s">
        <v>0</v>
      </c>
      <c r="B22" s="22" t="s">
        <v>30</v>
      </c>
      <c r="C22" s="22">
        <v>4157</v>
      </c>
      <c r="D22" s="22">
        <v>2920</v>
      </c>
      <c r="E22" s="22">
        <v>1681</v>
      </c>
      <c r="F22" s="22">
        <v>1104</v>
      </c>
      <c r="G22" s="22">
        <v>170</v>
      </c>
      <c r="H22" s="22">
        <v>10032</v>
      </c>
    </row>
    <row r="23" spans="1:8" x14ac:dyDescent="0.25">
      <c r="A23" s="15"/>
      <c r="B23" s="17" t="s">
        <v>29</v>
      </c>
      <c r="C23" s="21">
        <v>41.44</v>
      </c>
      <c r="D23" s="21">
        <v>29.11</v>
      </c>
      <c r="E23" s="21">
        <v>16.760000000000002</v>
      </c>
      <c r="F23" s="21">
        <v>11</v>
      </c>
      <c r="G23" s="21">
        <v>1.69</v>
      </c>
      <c r="H23" s="35">
        <v>100</v>
      </c>
    </row>
    <row r="27" spans="1:8" x14ac:dyDescent="0.25">
      <c r="A27" s="3" t="s">
        <v>7</v>
      </c>
    </row>
    <row r="28" spans="1:8" x14ac:dyDescent="0.25">
      <c r="A28" s="78" t="s">
        <v>65</v>
      </c>
      <c r="B28" s="79" t="s">
        <v>36</v>
      </c>
      <c r="C28" s="79"/>
      <c r="D28" s="79"/>
      <c r="E28" s="79"/>
      <c r="F28" s="79"/>
      <c r="G28" s="79"/>
      <c r="H28" s="79"/>
    </row>
    <row r="29" spans="1:8" x14ac:dyDescent="0.25">
      <c r="A29" s="78"/>
      <c r="B29" s="79"/>
      <c r="C29" s="79"/>
      <c r="D29" s="79"/>
      <c r="E29" s="79"/>
      <c r="F29" s="79"/>
      <c r="G29" s="79"/>
      <c r="H29" s="79"/>
    </row>
    <row r="30" spans="1:8" x14ac:dyDescent="0.25">
      <c r="A30" s="78"/>
      <c r="B30" s="7"/>
      <c r="C30" s="17" t="s">
        <v>24</v>
      </c>
      <c r="D30" s="17" t="s">
        <v>31</v>
      </c>
      <c r="E30" s="17" t="s">
        <v>32</v>
      </c>
      <c r="F30" s="17" t="s">
        <v>34</v>
      </c>
      <c r="G30" s="17" t="s">
        <v>33</v>
      </c>
      <c r="H30" s="17" t="s">
        <v>0</v>
      </c>
    </row>
    <row r="31" spans="1:8" x14ac:dyDescent="0.25">
      <c r="A31" s="15" t="s">
        <v>14</v>
      </c>
      <c r="B31" s="16" t="s">
        <v>30</v>
      </c>
      <c r="C31" s="16">
        <v>205</v>
      </c>
      <c r="D31" s="16">
        <v>7</v>
      </c>
      <c r="E31" s="16">
        <v>37</v>
      </c>
      <c r="F31" s="16">
        <v>49</v>
      </c>
      <c r="G31" s="16">
        <v>2</v>
      </c>
      <c r="H31" s="16">
        <v>300</v>
      </c>
    </row>
    <row r="32" spans="1:8" x14ac:dyDescent="0.25">
      <c r="A32" s="15"/>
      <c r="B32" s="22" t="s">
        <v>29</v>
      </c>
      <c r="C32" s="25">
        <v>68.33</v>
      </c>
      <c r="D32" s="25">
        <v>2.33</v>
      </c>
      <c r="E32" s="25">
        <v>12.33</v>
      </c>
      <c r="F32" s="25">
        <v>16.329999999999998</v>
      </c>
      <c r="G32" s="25">
        <v>0.67</v>
      </c>
      <c r="H32" s="34">
        <v>100</v>
      </c>
    </row>
    <row r="33" spans="1:8" x14ac:dyDescent="0.25">
      <c r="A33" s="15" t="s">
        <v>46</v>
      </c>
      <c r="B33" s="22" t="s">
        <v>30</v>
      </c>
      <c r="C33" s="22">
        <v>371</v>
      </c>
      <c r="D33" s="22">
        <v>499</v>
      </c>
      <c r="E33" s="22">
        <v>315</v>
      </c>
      <c r="F33" s="22">
        <v>162</v>
      </c>
      <c r="G33" s="22">
        <v>18</v>
      </c>
      <c r="H33" s="22">
        <v>1365</v>
      </c>
    </row>
    <row r="34" spans="1:8" x14ac:dyDescent="0.25">
      <c r="A34" s="15"/>
      <c r="B34" s="22" t="s">
        <v>29</v>
      </c>
      <c r="C34" s="25">
        <v>27.18</v>
      </c>
      <c r="D34" s="25">
        <v>36.56</v>
      </c>
      <c r="E34" s="25">
        <v>23.08</v>
      </c>
      <c r="F34" s="25">
        <v>11.87</v>
      </c>
      <c r="G34" s="25">
        <v>1.32</v>
      </c>
      <c r="H34" s="34">
        <v>100</v>
      </c>
    </row>
    <row r="35" spans="1:8" x14ac:dyDescent="0.25">
      <c r="A35" s="15" t="s">
        <v>50</v>
      </c>
      <c r="B35" s="22" t="s">
        <v>30</v>
      </c>
      <c r="C35" s="22">
        <v>377</v>
      </c>
      <c r="D35" s="22">
        <v>445</v>
      </c>
      <c r="E35" s="22">
        <v>225</v>
      </c>
      <c r="F35" s="22">
        <v>92</v>
      </c>
      <c r="G35" s="22">
        <v>10</v>
      </c>
      <c r="H35" s="22">
        <v>1149</v>
      </c>
    </row>
    <row r="36" spans="1:8" x14ac:dyDescent="0.25">
      <c r="A36" s="15"/>
      <c r="B36" s="22" t="s">
        <v>29</v>
      </c>
      <c r="C36" s="25">
        <v>32.81</v>
      </c>
      <c r="D36" s="25">
        <v>38.729999999999997</v>
      </c>
      <c r="E36" s="25">
        <v>19.579999999999998</v>
      </c>
      <c r="F36" s="25">
        <v>8.01</v>
      </c>
      <c r="G36" s="25">
        <v>0.87</v>
      </c>
      <c r="H36" s="34">
        <v>100</v>
      </c>
    </row>
    <row r="37" spans="1:8" x14ac:dyDescent="0.25">
      <c r="A37" s="15" t="s">
        <v>17</v>
      </c>
      <c r="B37" s="22" t="s">
        <v>30</v>
      </c>
      <c r="C37" s="22">
        <v>409</v>
      </c>
      <c r="D37" s="22">
        <v>362</v>
      </c>
      <c r="E37" s="22">
        <v>163</v>
      </c>
      <c r="F37" s="22">
        <v>83</v>
      </c>
      <c r="G37" s="22">
        <v>10</v>
      </c>
      <c r="H37" s="22">
        <v>1027</v>
      </c>
    </row>
    <row r="38" spans="1:8" x14ac:dyDescent="0.25">
      <c r="A38" s="15"/>
      <c r="B38" s="22" t="s">
        <v>29</v>
      </c>
      <c r="C38" s="25">
        <v>39.82</v>
      </c>
      <c r="D38" s="25">
        <v>35.25</v>
      </c>
      <c r="E38" s="25">
        <v>15.87</v>
      </c>
      <c r="F38" s="25">
        <v>8.08</v>
      </c>
      <c r="G38" s="25">
        <v>0.97</v>
      </c>
      <c r="H38" s="34">
        <v>100</v>
      </c>
    </row>
    <row r="39" spans="1:8" x14ac:dyDescent="0.25">
      <c r="A39" s="15" t="s">
        <v>47</v>
      </c>
      <c r="B39" s="22" t="s">
        <v>30</v>
      </c>
      <c r="C39" s="22">
        <v>400</v>
      </c>
      <c r="D39" s="22">
        <v>287</v>
      </c>
      <c r="E39" s="22">
        <v>124</v>
      </c>
      <c r="F39" s="22">
        <v>60</v>
      </c>
      <c r="G39" s="22">
        <v>13</v>
      </c>
      <c r="H39" s="22">
        <v>884</v>
      </c>
    </row>
    <row r="40" spans="1:8" x14ac:dyDescent="0.25">
      <c r="A40" s="15"/>
      <c r="B40" s="22" t="s">
        <v>29</v>
      </c>
      <c r="C40" s="25">
        <v>45.25</v>
      </c>
      <c r="D40" s="25">
        <v>32.47</v>
      </c>
      <c r="E40" s="25">
        <v>14.03</v>
      </c>
      <c r="F40" s="25">
        <v>6.79</v>
      </c>
      <c r="G40" s="25">
        <v>1.47</v>
      </c>
      <c r="H40" s="34">
        <v>100</v>
      </c>
    </row>
    <row r="41" spans="1:8" x14ac:dyDescent="0.25">
      <c r="A41" s="15" t="s">
        <v>48</v>
      </c>
      <c r="B41" s="22" t="s">
        <v>30</v>
      </c>
      <c r="C41" s="22">
        <v>294</v>
      </c>
      <c r="D41" s="22">
        <v>151</v>
      </c>
      <c r="E41" s="22">
        <v>81</v>
      </c>
      <c r="F41" s="22">
        <v>53</v>
      </c>
      <c r="G41" s="22">
        <v>10</v>
      </c>
      <c r="H41" s="22">
        <v>589</v>
      </c>
    </row>
    <row r="42" spans="1:8" x14ac:dyDescent="0.25">
      <c r="A42" s="15"/>
      <c r="B42" s="22" t="s">
        <v>29</v>
      </c>
      <c r="C42" s="25">
        <v>49.92</v>
      </c>
      <c r="D42" s="25">
        <v>25.64</v>
      </c>
      <c r="E42" s="25">
        <v>13.75</v>
      </c>
      <c r="F42" s="25">
        <v>9</v>
      </c>
      <c r="G42" s="25">
        <v>1.7</v>
      </c>
      <c r="H42" s="34">
        <v>100</v>
      </c>
    </row>
    <row r="43" spans="1:8" x14ac:dyDescent="0.25">
      <c r="A43" s="15" t="s">
        <v>49</v>
      </c>
      <c r="B43" s="22" t="s">
        <v>30</v>
      </c>
      <c r="C43" s="22">
        <v>269</v>
      </c>
      <c r="D43" s="22">
        <v>42</v>
      </c>
      <c r="E43" s="22">
        <v>41</v>
      </c>
      <c r="F43" s="22">
        <v>54</v>
      </c>
      <c r="G43" s="22">
        <v>5</v>
      </c>
      <c r="H43" s="22">
        <v>411</v>
      </c>
    </row>
    <row r="44" spans="1:8" x14ac:dyDescent="0.25">
      <c r="A44" s="15"/>
      <c r="B44" s="22" t="s">
        <v>29</v>
      </c>
      <c r="C44" s="25">
        <v>65.45</v>
      </c>
      <c r="D44" s="25">
        <v>10.220000000000001</v>
      </c>
      <c r="E44" s="25">
        <v>9.98</v>
      </c>
      <c r="F44" s="25">
        <v>13.14</v>
      </c>
      <c r="G44" s="25">
        <v>1.22</v>
      </c>
      <c r="H44" s="34">
        <v>100</v>
      </c>
    </row>
    <row r="45" spans="1:8" x14ac:dyDescent="0.25">
      <c r="A45" s="15" t="s">
        <v>51</v>
      </c>
      <c r="B45" s="22" t="s">
        <v>30</v>
      </c>
      <c r="C45" s="22">
        <v>233</v>
      </c>
      <c r="D45" s="22">
        <v>26</v>
      </c>
      <c r="E45" s="22">
        <v>21</v>
      </c>
      <c r="F45" s="22">
        <v>67</v>
      </c>
      <c r="G45" s="22">
        <v>6</v>
      </c>
      <c r="H45" s="22">
        <v>353</v>
      </c>
    </row>
    <row r="46" spans="1:8" x14ac:dyDescent="0.25">
      <c r="A46" s="15"/>
      <c r="B46" s="22" t="s">
        <v>29</v>
      </c>
      <c r="C46" s="25">
        <v>66.010000000000005</v>
      </c>
      <c r="D46" s="25">
        <v>7.37</v>
      </c>
      <c r="E46" s="25">
        <v>5.95</v>
      </c>
      <c r="F46" s="25">
        <v>18.98</v>
      </c>
      <c r="G46" s="25">
        <v>1.7</v>
      </c>
      <c r="H46" s="34">
        <v>100</v>
      </c>
    </row>
    <row r="47" spans="1:8" x14ac:dyDescent="0.25">
      <c r="A47" s="15" t="s">
        <v>52</v>
      </c>
      <c r="B47" s="22" t="s">
        <v>30</v>
      </c>
      <c r="C47" s="22">
        <v>188</v>
      </c>
      <c r="D47" s="22">
        <v>8</v>
      </c>
      <c r="E47" s="22">
        <v>8</v>
      </c>
      <c r="F47" s="22">
        <v>80</v>
      </c>
      <c r="G47" s="22">
        <v>5</v>
      </c>
      <c r="H47" s="22">
        <v>289</v>
      </c>
    </row>
    <row r="48" spans="1:8" x14ac:dyDescent="0.25">
      <c r="A48" s="15"/>
      <c r="B48" s="22" t="s">
        <v>29</v>
      </c>
      <c r="C48" s="25">
        <v>65.05</v>
      </c>
      <c r="D48" s="25">
        <v>2.77</v>
      </c>
      <c r="E48" s="25">
        <v>2.77</v>
      </c>
      <c r="F48" s="25">
        <v>27.68</v>
      </c>
      <c r="G48" s="25">
        <v>1.73</v>
      </c>
      <c r="H48" s="34">
        <v>100</v>
      </c>
    </row>
    <row r="49" spans="1:8" x14ac:dyDescent="0.25">
      <c r="A49" s="15" t="s">
        <v>0</v>
      </c>
      <c r="B49" s="22" t="s">
        <v>30</v>
      </c>
      <c r="C49" s="22">
        <v>2746</v>
      </c>
      <c r="D49" s="22">
        <v>1827</v>
      </c>
      <c r="E49" s="22">
        <v>1015</v>
      </c>
      <c r="F49" s="22">
        <v>700</v>
      </c>
      <c r="G49" s="22">
        <v>79</v>
      </c>
      <c r="H49" s="22">
        <v>6367</v>
      </c>
    </row>
    <row r="50" spans="1:8" x14ac:dyDescent="0.25">
      <c r="A50" s="15"/>
      <c r="B50" s="17" t="s">
        <v>29</v>
      </c>
      <c r="C50" s="21">
        <v>43.13</v>
      </c>
      <c r="D50" s="21">
        <v>28.69</v>
      </c>
      <c r="E50" s="21">
        <v>15.94</v>
      </c>
      <c r="F50" s="21">
        <v>10.99</v>
      </c>
      <c r="G50" s="21">
        <v>1.24</v>
      </c>
      <c r="H50" s="35">
        <v>100</v>
      </c>
    </row>
    <row r="54" spans="1:8" x14ac:dyDescent="0.25">
      <c r="A54" s="3" t="s">
        <v>6</v>
      </c>
    </row>
    <row r="55" spans="1:8" x14ac:dyDescent="0.25">
      <c r="A55" s="78" t="s">
        <v>65</v>
      </c>
      <c r="B55" s="79" t="s">
        <v>39</v>
      </c>
      <c r="C55" s="79"/>
      <c r="D55" s="79"/>
      <c r="E55" s="79"/>
      <c r="F55" s="79"/>
      <c r="G55" s="79"/>
      <c r="H55" s="79"/>
    </row>
    <row r="56" spans="1:8" x14ac:dyDescent="0.25">
      <c r="A56" s="78"/>
      <c r="B56" s="79"/>
      <c r="C56" s="79"/>
      <c r="D56" s="79"/>
      <c r="E56" s="79"/>
      <c r="F56" s="79"/>
      <c r="G56" s="79"/>
      <c r="H56" s="79"/>
    </row>
    <row r="57" spans="1:8" x14ac:dyDescent="0.25">
      <c r="A57" s="78"/>
      <c r="B57" s="7"/>
      <c r="C57" s="17" t="s">
        <v>24</v>
      </c>
      <c r="D57" s="17" t="s">
        <v>31</v>
      </c>
      <c r="E57" s="17" t="s">
        <v>32</v>
      </c>
      <c r="F57" s="17" t="s">
        <v>34</v>
      </c>
      <c r="G57" s="17" t="s">
        <v>33</v>
      </c>
      <c r="H57" s="17" t="s">
        <v>0</v>
      </c>
    </row>
    <row r="58" spans="1:8" x14ac:dyDescent="0.25">
      <c r="A58" s="15" t="s">
        <v>14</v>
      </c>
      <c r="B58" s="16" t="s">
        <v>30</v>
      </c>
      <c r="C58" s="16">
        <v>243</v>
      </c>
      <c r="D58" s="16">
        <v>10</v>
      </c>
      <c r="E58" s="16">
        <v>40</v>
      </c>
      <c r="F58" s="16">
        <v>39</v>
      </c>
      <c r="G58" s="16">
        <v>10</v>
      </c>
      <c r="H58" s="16">
        <v>342</v>
      </c>
    </row>
    <row r="59" spans="1:8" x14ac:dyDescent="0.25">
      <c r="A59" s="15"/>
      <c r="B59" s="22" t="s">
        <v>29</v>
      </c>
      <c r="C59" s="25">
        <v>71.05</v>
      </c>
      <c r="D59" s="25">
        <v>2.92</v>
      </c>
      <c r="E59" s="25">
        <v>11.7</v>
      </c>
      <c r="F59" s="25">
        <v>11.4</v>
      </c>
      <c r="G59" s="25">
        <v>2.92</v>
      </c>
      <c r="H59" s="34">
        <v>100</v>
      </c>
    </row>
    <row r="60" spans="1:8" x14ac:dyDescent="0.25">
      <c r="A60" s="15" t="s">
        <v>46</v>
      </c>
      <c r="B60" s="22" t="s">
        <v>30</v>
      </c>
      <c r="C60" s="22">
        <v>265</v>
      </c>
      <c r="D60" s="22">
        <v>198</v>
      </c>
      <c r="E60" s="22">
        <v>149</v>
      </c>
      <c r="F60" s="22">
        <v>69</v>
      </c>
      <c r="G60" s="22">
        <v>27</v>
      </c>
      <c r="H60" s="22">
        <v>708</v>
      </c>
    </row>
    <row r="61" spans="1:8" x14ac:dyDescent="0.25">
      <c r="A61" s="15"/>
      <c r="B61" s="22" t="s">
        <v>29</v>
      </c>
      <c r="C61" s="25">
        <v>37.43</v>
      </c>
      <c r="D61" s="25">
        <v>27.97</v>
      </c>
      <c r="E61" s="25">
        <v>21.05</v>
      </c>
      <c r="F61" s="25">
        <v>9.75</v>
      </c>
      <c r="G61" s="25">
        <v>3.81</v>
      </c>
      <c r="H61" s="34">
        <v>100</v>
      </c>
    </row>
    <row r="62" spans="1:8" x14ac:dyDescent="0.25">
      <c r="A62" s="15" t="s">
        <v>50</v>
      </c>
      <c r="B62" s="22" t="s">
        <v>30</v>
      </c>
      <c r="C62" s="22">
        <v>117</v>
      </c>
      <c r="D62" s="22">
        <v>280</v>
      </c>
      <c r="E62" s="22">
        <v>96</v>
      </c>
      <c r="F62" s="22">
        <v>37</v>
      </c>
      <c r="G62" s="22">
        <v>11</v>
      </c>
      <c r="H62" s="22">
        <v>541</v>
      </c>
    </row>
    <row r="63" spans="1:8" x14ac:dyDescent="0.25">
      <c r="A63" s="15"/>
      <c r="B63" s="22" t="s">
        <v>29</v>
      </c>
      <c r="C63" s="25">
        <v>21.63</v>
      </c>
      <c r="D63" s="25">
        <v>51.76</v>
      </c>
      <c r="E63" s="25">
        <v>17.739999999999998</v>
      </c>
      <c r="F63" s="25">
        <v>6.84</v>
      </c>
      <c r="G63" s="25">
        <v>2.0299999999999998</v>
      </c>
      <c r="H63" s="34">
        <v>100</v>
      </c>
    </row>
    <row r="64" spans="1:8" x14ac:dyDescent="0.25">
      <c r="A64" s="15" t="s">
        <v>17</v>
      </c>
      <c r="B64" s="22" t="s">
        <v>30</v>
      </c>
      <c r="C64" s="22">
        <v>97</v>
      </c>
      <c r="D64" s="22">
        <v>258</v>
      </c>
      <c r="E64" s="22">
        <v>124</v>
      </c>
      <c r="F64" s="22">
        <v>32</v>
      </c>
      <c r="G64" s="22">
        <v>9</v>
      </c>
      <c r="H64" s="22">
        <v>520</v>
      </c>
    </row>
    <row r="65" spans="1:8" x14ac:dyDescent="0.25">
      <c r="A65" s="15"/>
      <c r="B65" s="22" t="s">
        <v>29</v>
      </c>
      <c r="C65" s="25">
        <v>18.649999999999999</v>
      </c>
      <c r="D65" s="25">
        <v>49.62</v>
      </c>
      <c r="E65" s="25">
        <v>23.85</v>
      </c>
      <c r="F65" s="25">
        <v>6.15</v>
      </c>
      <c r="G65" s="25">
        <v>1.73</v>
      </c>
      <c r="H65" s="34">
        <v>100</v>
      </c>
    </row>
    <row r="66" spans="1:8" x14ac:dyDescent="0.25">
      <c r="A66" s="15" t="s">
        <v>47</v>
      </c>
      <c r="B66" s="22" t="s">
        <v>30</v>
      </c>
      <c r="C66" s="22">
        <v>88</v>
      </c>
      <c r="D66" s="22">
        <v>176</v>
      </c>
      <c r="E66" s="22">
        <v>94</v>
      </c>
      <c r="F66" s="22">
        <v>40</v>
      </c>
      <c r="G66" s="22">
        <v>7</v>
      </c>
      <c r="H66" s="22">
        <v>405</v>
      </c>
    </row>
    <row r="67" spans="1:8" x14ac:dyDescent="0.25">
      <c r="A67" s="15"/>
      <c r="B67" s="22" t="s">
        <v>29</v>
      </c>
      <c r="C67" s="25">
        <v>21.73</v>
      </c>
      <c r="D67" s="25">
        <v>43.46</v>
      </c>
      <c r="E67" s="25">
        <v>23.21</v>
      </c>
      <c r="F67" s="25">
        <v>9.8800000000000008</v>
      </c>
      <c r="G67" s="25">
        <v>1.73</v>
      </c>
      <c r="H67" s="34">
        <v>100</v>
      </c>
    </row>
    <row r="68" spans="1:8" x14ac:dyDescent="0.25">
      <c r="A68" s="15" t="s">
        <v>48</v>
      </c>
      <c r="B68" s="22" t="s">
        <v>30</v>
      </c>
      <c r="C68" s="22">
        <v>123</v>
      </c>
      <c r="D68" s="22">
        <v>83</v>
      </c>
      <c r="E68" s="22">
        <v>61</v>
      </c>
      <c r="F68" s="22">
        <v>40</v>
      </c>
      <c r="G68" s="22">
        <v>7</v>
      </c>
      <c r="H68" s="22">
        <v>314</v>
      </c>
    </row>
    <row r="69" spans="1:8" x14ac:dyDescent="0.25">
      <c r="A69" s="15"/>
      <c r="B69" s="22" t="s">
        <v>29</v>
      </c>
      <c r="C69" s="25">
        <v>39.17</v>
      </c>
      <c r="D69" s="25">
        <v>26.43</v>
      </c>
      <c r="E69" s="25">
        <v>19.43</v>
      </c>
      <c r="F69" s="25">
        <v>12.74</v>
      </c>
      <c r="G69" s="25">
        <v>2.23</v>
      </c>
      <c r="H69" s="34">
        <v>100</v>
      </c>
    </row>
    <row r="70" spans="1:8" x14ac:dyDescent="0.25">
      <c r="A70" s="15" t="s">
        <v>49</v>
      </c>
      <c r="B70" s="22" t="s">
        <v>30</v>
      </c>
      <c r="C70" s="22">
        <v>187</v>
      </c>
      <c r="D70" s="22">
        <v>53</v>
      </c>
      <c r="E70" s="22">
        <v>58</v>
      </c>
      <c r="F70" s="22">
        <v>56</v>
      </c>
      <c r="G70" s="22">
        <v>10</v>
      </c>
      <c r="H70" s="22">
        <v>364</v>
      </c>
    </row>
    <row r="71" spans="1:8" x14ac:dyDescent="0.25">
      <c r="A71" s="15"/>
      <c r="B71" s="22" t="s">
        <v>29</v>
      </c>
      <c r="C71" s="25">
        <v>51.37</v>
      </c>
      <c r="D71" s="25">
        <v>14.56</v>
      </c>
      <c r="E71" s="25">
        <v>15.93</v>
      </c>
      <c r="F71" s="25">
        <v>15.38</v>
      </c>
      <c r="G71" s="25">
        <v>2.75</v>
      </c>
      <c r="H71" s="34">
        <v>100</v>
      </c>
    </row>
    <row r="72" spans="1:8" x14ac:dyDescent="0.25">
      <c r="A72" s="15" t="s">
        <v>51</v>
      </c>
      <c r="B72" s="22" t="s">
        <v>30</v>
      </c>
      <c r="C72" s="22">
        <v>151</v>
      </c>
      <c r="D72" s="22">
        <v>23</v>
      </c>
      <c r="E72" s="22">
        <v>29</v>
      </c>
      <c r="F72" s="22">
        <v>58</v>
      </c>
      <c r="G72" s="22">
        <v>6</v>
      </c>
      <c r="H72" s="22">
        <v>267</v>
      </c>
    </row>
    <row r="73" spans="1:8" x14ac:dyDescent="0.25">
      <c r="A73" s="15"/>
      <c r="B73" s="22" t="s">
        <v>29</v>
      </c>
      <c r="C73" s="25">
        <v>56.55</v>
      </c>
      <c r="D73" s="25">
        <v>8.61</v>
      </c>
      <c r="E73" s="25">
        <v>10.86</v>
      </c>
      <c r="F73" s="25">
        <v>21.72</v>
      </c>
      <c r="G73" s="25">
        <v>2.25</v>
      </c>
      <c r="H73" s="34">
        <v>100</v>
      </c>
    </row>
    <row r="74" spans="1:8" x14ac:dyDescent="0.25">
      <c r="A74" s="15" t="s">
        <v>52</v>
      </c>
      <c r="B74" s="22" t="s">
        <v>30</v>
      </c>
      <c r="C74" s="22">
        <v>140</v>
      </c>
      <c r="D74" s="22">
        <v>12</v>
      </c>
      <c r="E74" s="22">
        <v>15</v>
      </c>
      <c r="F74" s="22">
        <v>33</v>
      </c>
      <c r="G74" s="22">
        <v>4</v>
      </c>
      <c r="H74" s="22">
        <v>204</v>
      </c>
    </row>
    <row r="75" spans="1:8" x14ac:dyDescent="0.25">
      <c r="A75" s="15"/>
      <c r="B75" s="22" t="s">
        <v>29</v>
      </c>
      <c r="C75" s="25">
        <v>68.63</v>
      </c>
      <c r="D75" s="25">
        <v>5.88</v>
      </c>
      <c r="E75" s="25">
        <v>7.35</v>
      </c>
      <c r="F75" s="25">
        <v>16.18</v>
      </c>
      <c r="G75" s="25">
        <v>1.96</v>
      </c>
      <c r="H75" s="34">
        <v>100</v>
      </c>
    </row>
    <row r="76" spans="1:8" x14ac:dyDescent="0.25">
      <c r="A76" s="15" t="s">
        <v>0</v>
      </c>
      <c r="B76" s="22" t="s">
        <v>30</v>
      </c>
      <c r="C76" s="22">
        <v>1411</v>
      </c>
      <c r="D76" s="22">
        <v>1093</v>
      </c>
      <c r="E76" s="22">
        <v>666</v>
      </c>
      <c r="F76" s="22">
        <v>404</v>
      </c>
      <c r="G76" s="22">
        <v>91</v>
      </c>
      <c r="H76" s="22">
        <v>3665</v>
      </c>
    </row>
    <row r="77" spans="1:8" x14ac:dyDescent="0.25">
      <c r="A77" s="15"/>
      <c r="B77" s="17" t="s">
        <v>29</v>
      </c>
      <c r="C77" s="21">
        <v>38.5</v>
      </c>
      <c r="D77" s="21">
        <v>29.82</v>
      </c>
      <c r="E77" s="21">
        <v>18.170000000000002</v>
      </c>
      <c r="F77" s="21">
        <v>11.02</v>
      </c>
      <c r="G77" s="21">
        <v>2.48</v>
      </c>
      <c r="H77" s="35">
        <v>100</v>
      </c>
    </row>
  </sheetData>
  <mergeCells count="7">
    <mergeCell ref="A55:A57"/>
    <mergeCell ref="B55:H56"/>
    <mergeCell ref="A1:A2"/>
    <mergeCell ref="B1:H2"/>
    <mergeCell ref="J3:N5"/>
    <mergeCell ref="A28:A30"/>
    <mergeCell ref="B28:H2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54"/>
  <sheetViews>
    <sheetView zoomScaleNormal="100" workbookViewId="0">
      <selection activeCell="A57" sqref="A57:XFD75"/>
    </sheetView>
  </sheetViews>
  <sheetFormatPr defaultRowHeight="15" x14ac:dyDescent="0.25"/>
  <cols>
    <col min="1" max="1" width="14.28515625" customWidth="1"/>
    <col min="2" max="2" width="5.7109375" customWidth="1"/>
    <col min="3" max="4" width="11.85546875" customWidth="1"/>
    <col min="5" max="5" width="13.85546875" bestFit="1" customWidth="1"/>
    <col min="6" max="8" width="11.85546875" customWidth="1"/>
    <col min="10" max="10" width="11.28515625" customWidth="1"/>
    <col min="11" max="11" width="15" customWidth="1"/>
    <col min="14" max="14" width="12.5703125" bestFit="1" customWidth="1"/>
    <col min="17" max="17" width="13.85546875" bestFit="1" customWidth="1"/>
  </cols>
  <sheetData>
    <row r="1" spans="1:24" ht="15" customHeight="1" x14ac:dyDescent="0.25">
      <c r="A1" s="78" t="s">
        <v>28</v>
      </c>
      <c r="B1" s="79" t="s">
        <v>73</v>
      </c>
      <c r="C1" s="79"/>
      <c r="D1" s="79"/>
      <c r="E1" s="79"/>
      <c r="F1" s="79"/>
      <c r="G1" s="79"/>
      <c r="H1" s="79"/>
      <c r="R1" s="59"/>
      <c r="S1" s="59"/>
      <c r="T1" s="59"/>
    </row>
    <row r="2" spans="1:24" x14ac:dyDescent="0.25">
      <c r="A2" s="78"/>
      <c r="B2" s="79"/>
      <c r="C2" s="79"/>
      <c r="D2" s="79"/>
      <c r="E2" s="79"/>
      <c r="F2" s="79"/>
      <c r="G2" s="79"/>
      <c r="H2" s="79"/>
      <c r="K2" s="81" t="s">
        <v>79</v>
      </c>
      <c r="L2" s="81"/>
      <c r="M2" s="81"/>
      <c r="N2" s="81"/>
      <c r="R2" s="59"/>
      <c r="S2" s="59"/>
      <c r="T2" s="59"/>
    </row>
    <row r="3" spans="1:24" ht="17.25" x14ac:dyDescent="0.25">
      <c r="A3" s="32"/>
      <c r="B3" s="7"/>
      <c r="C3" s="39" t="s">
        <v>69</v>
      </c>
      <c r="D3" s="39" t="s">
        <v>87</v>
      </c>
      <c r="E3" s="24" t="s">
        <v>86</v>
      </c>
      <c r="F3" s="24" t="s">
        <v>67</v>
      </c>
      <c r="G3" s="39" t="s">
        <v>70</v>
      </c>
      <c r="H3" s="39" t="s">
        <v>85</v>
      </c>
      <c r="K3" s="81"/>
      <c r="L3" s="81"/>
      <c r="M3" s="81"/>
      <c r="N3" s="81"/>
    </row>
    <row r="4" spans="1:24" x14ac:dyDescent="0.25">
      <c r="A4" s="15" t="s">
        <v>103</v>
      </c>
      <c r="B4" s="18" t="s">
        <v>30</v>
      </c>
      <c r="C4" s="42">
        <v>5485</v>
      </c>
      <c r="D4" s="42">
        <v>3166</v>
      </c>
      <c r="E4" s="45">
        <v>1279</v>
      </c>
      <c r="F4" s="18">
        <v>607</v>
      </c>
      <c r="G4" s="37">
        <v>2378</v>
      </c>
      <c r="H4" s="18">
        <v>9729</v>
      </c>
      <c r="K4" s="81"/>
      <c r="L4" s="81"/>
      <c r="M4" s="81"/>
      <c r="N4" s="81"/>
    </row>
    <row r="5" spans="1:24" x14ac:dyDescent="0.25">
      <c r="A5" s="15"/>
      <c r="B5" s="22" t="s">
        <v>29</v>
      </c>
      <c r="C5" s="25">
        <f>C4/$H$4*100</f>
        <v>56.377839449069789</v>
      </c>
      <c r="D5" s="25">
        <f t="shared" ref="D5:G5" si="0">D4/$H$4*100</f>
        <v>32.541885085825882</v>
      </c>
      <c r="E5" s="25">
        <f t="shared" si="0"/>
        <v>13.146263747558844</v>
      </c>
      <c r="F5" s="25">
        <f t="shared" si="0"/>
        <v>6.2390790420392639</v>
      </c>
      <c r="G5" s="25">
        <f t="shared" si="0"/>
        <v>24.442388734710661</v>
      </c>
      <c r="H5" s="22"/>
    </row>
    <row r="6" spans="1:24" ht="15" customHeight="1" x14ac:dyDescent="0.25">
      <c r="A6" s="15" t="s">
        <v>27</v>
      </c>
      <c r="B6" s="22" t="s">
        <v>30</v>
      </c>
      <c r="C6" s="34">
        <v>1395</v>
      </c>
      <c r="D6" s="34">
        <v>946</v>
      </c>
      <c r="E6" s="43">
        <v>1153</v>
      </c>
      <c r="F6" s="22">
        <v>269</v>
      </c>
      <c r="G6" s="34">
        <v>715</v>
      </c>
      <c r="H6" s="22">
        <v>3159</v>
      </c>
      <c r="K6" s="77" t="s">
        <v>84</v>
      </c>
      <c r="L6" s="77"/>
      <c r="M6" s="77"/>
      <c r="N6" s="77"/>
    </row>
    <row r="7" spans="1:24" ht="15" customHeight="1" x14ac:dyDescent="0.25">
      <c r="A7" s="15"/>
      <c r="B7" s="22" t="s">
        <v>29</v>
      </c>
      <c r="C7" s="25">
        <f>C6/$H$6*100</f>
        <v>44.159544159544161</v>
      </c>
      <c r="D7" s="25">
        <f t="shared" ref="D7:G7" si="1">D6/$H$6*100</f>
        <v>29.946185501741056</v>
      </c>
      <c r="E7" s="25">
        <f t="shared" si="1"/>
        <v>36.498892054447616</v>
      </c>
      <c r="F7" s="25">
        <f t="shared" si="1"/>
        <v>8.5153529597974043</v>
      </c>
      <c r="G7" s="25">
        <f t="shared" si="1"/>
        <v>22.633744855967077</v>
      </c>
      <c r="H7" s="22"/>
      <c r="K7" s="77"/>
      <c r="L7" s="77"/>
      <c r="M7" s="77"/>
      <c r="N7" s="77"/>
    </row>
    <row r="8" spans="1:24" ht="15" customHeight="1" x14ac:dyDescent="0.25">
      <c r="A8" s="15" t="s">
        <v>8</v>
      </c>
      <c r="B8" s="22" t="s">
        <v>30</v>
      </c>
      <c r="C8" s="43">
        <v>1592</v>
      </c>
      <c r="D8" s="34">
        <v>875</v>
      </c>
      <c r="E8" s="43">
        <v>978</v>
      </c>
      <c r="F8" s="22">
        <v>139</v>
      </c>
      <c r="G8" s="34">
        <v>230</v>
      </c>
      <c r="H8" s="22">
        <v>2892</v>
      </c>
      <c r="K8" s="77"/>
      <c r="L8" s="77"/>
      <c r="M8" s="77"/>
      <c r="N8" s="77"/>
      <c r="S8" s="68"/>
      <c r="T8" s="68"/>
      <c r="U8" s="68"/>
      <c r="V8" s="68"/>
      <c r="W8" s="68"/>
      <c r="X8" s="68"/>
    </row>
    <row r="9" spans="1:24" x14ac:dyDescent="0.25">
      <c r="A9" s="15"/>
      <c r="B9" s="22" t="s">
        <v>29</v>
      </c>
      <c r="C9" s="25">
        <f>C8/$H$8*100</f>
        <v>55.048409405255882</v>
      </c>
      <c r="D9" s="25">
        <f t="shared" ref="D9:G9" si="2">D8/$H$8*100</f>
        <v>30.255878284923927</v>
      </c>
      <c r="E9" s="25">
        <f t="shared" si="2"/>
        <v>33.817427385892117</v>
      </c>
      <c r="F9" s="25">
        <f t="shared" si="2"/>
        <v>4.8063623789764875</v>
      </c>
      <c r="G9" s="25">
        <f t="shared" si="2"/>
        <v>7.9529737206085747</v>
      </c>
      <c r="H9" s="22"/>
      <c r="S9" s="68"/>
      <c r="T9" s="68"/>
      <c r="U9" s="68"/>
      <c r="V9" s="68"/>
      <c r="W9" s="68"/>
      <c r="X9" s="68"/>
    </row>
    <row r="10" spans="1:24" x14ac:dyDescent="0.25">
      <c r="A10" s="15" t="s">
        <v>26</v>
      </c>
      <c r="B10" s="22" t="s">
        <v>30</v>
      </c>
      <c r="C10" s="43">
        <v>1157</v>
      </c>
      <c r="D10" s="34">
        <v>692</v>
      </c>
      <c r="E10" s="43">
        <v>508</v>
      </c>
      <c r="F10" s="22">
        <v>133</v>
      </c>
      <c r="G10" s="34">
        <v>905</v>
      </c>
      <c r="H10" s="22">
        <v>2581</v>
      </c>
      <c r="S10" s="68"/>
      <c r="T10" s="68"/>
      <c r="U10" s="68"/>
      <c r="V10" s="68"/>
      <c r="W10" s="68"/>
      <c r="X10" s="68"/>
    </row>
    <row r="11" spans="1:24" x14ac:dyDescent="0.25">
      <c r="A11" s="15"/>
      <c r="B11" s="22" t="s">
        <v>29</v>
      </c>
      <c r="C11" s="25">
        <f>C10/$H$10*100</f>
        <v>44.827586206896555</v>
      </c>
      <c r="D11" s="25">
        <f t="shared" ref="D11:G11" si="3">D10/$H$10*100</f>
        <v>26.811313444401396</v>
      </c>
      <c r="E11" s="25">
        <f t="shared" si="3"/>
        <v>19.682293684618365</v>
      </c>
      <c r="F11" s="25">
        <f t="shared" si="3"/>
        <v>5.1530414567996905</v>
      </c>
      <c r="G11" s="25">
        <f t="shared" si="3"/>
        <v>35.063928709802397</v>
      </c>
      <c r="H11" s="22"/>
      <c r="S11" s="68"/>
      <c r="T11" s="68"/>
      <c r="U11" s="68"/>
      <c r="V11" s="68"/>
      <c r="W11" s="68"/>
      <c r="X11" s="68"/>
    </row>
    <row r="12" spans="1:24" x14ac:dyDescent="0.25">
      <c r="A12" s="15" t="s">
        <v>1</v>
      </c>
      <c r="B12" s="22" t="s">
        <v>30</v>
      </c>
      <c r="C12" s="34">
        <v>465</v>
      </c>
      <c r="D12" s="34">
        <v>214</v>
      </c>
      <c r="E12" s="43">
        <v>157</v>
      </c>
      <c r="F12" s="22">
        <v>36</v>
      </c>
      <c r="G12" s="34">
        <v>131</v>
      </c>
      <c r="H12" s="22">
        <v>785</v>
      </c>
      <c r="S12" s="68"/>
      <c r="T12" s="68"/>
      <c r="U12" s="68"/>
      <c r="V12" s="68"/>
      <c r="W12" s="68"/>
      <c r="X12" s="68"/>
    </row>
    <row r="13" spans="1:24" x14ac:dyDescent="0.25">
      <c r="A13" s="15"/>
      <c r="B13" s="22" t="s">
        <v>29</v>
      </c>
      <c r="C13" s="25">
        <f>C12/$H$12*100</f>
        <v>59.235668789808912</v>
      </c>
      <c r="D13" s="25">
        <f t="shared" ref="D13:G13" si="4">D12/$H$12*100</f>
        <v>27.261146496815286</v>
      </c>
      <c r="E13" s="25">
        <f t="shared" si="4"/>
        <v>20</v>
      </c>
      <c r="F13" s="25">
        <f t="shared" si="4"/>
        <v>4.5859872611464967</v>
      </c>
      <c r="G13" s="25">
        <f t="shared" si="4"/>
        <v>16.687898089171973</v>
      </c>
      <c r="H13" s="22"/>
      <c r="S13" s="68"/>
      <c r="T13" s="68"/>
      <c r="U13" s="68"/>
      <c r="V13" s="68"/>
      <c r="W13" s="68"/>
      <c r="X13" s="68"/>
    </row>
    <row r="14" spans="1:24" x14ac:dyDescent="0.25">
      <c r="A14" s="15" t="s">
        <v>10</v>
      </c>
      <c r="B14" s="22" t="s">
        <v>30</v>
      </c>
      <c r="C14" s="34">
        <v>456</v>
      </c>
      <c r="D14" s="34">
        <v>309</v>
      </c>
      <c r="E14" s="43">
        <v>210</v>
      </c>
      <c r="F14" s="22">
        <v>54</v>
      </c>
      <c r="G14" s="34">
        <v>106</v>
      </c>
      <c r="H14" s="22">
        <v>867</v>
      </c>
      <c r="S14" s="68"/>
      <c r="T14" s="68"/>
      <c r="U14" s="68"/>
      <c r="V14" s="68"/>
      <c r="W14" s="68"/>
      <c r="X14" s="68"/>
    </row>
    <row r="15" spans="1:24" x14ac:dyDescent="0.25">
      <c r="A15" s="15"/>
      <c r="B15" s="22" t="s">
        <v>29</v>
      </c>
      <c r="C15" s="25">
        <f>C14/$H$14*100</f>
        <v>52.595155709342556</v>
      </c>
      <c r="D15" s="25">
        <f>D14/$H$14*100</f>
        <v>35.640138408304502</v>
      </c>
      <c r="E15" s="25">
        <f>E14/$H$14*100</f>
        <v>24.221453287197232</v>
      </c>
      <c r="F15" s="25">
        <f>F14/$H$14*100</f>
        <v>6.2283737024221448</v>
      </c>
      <c r="G15" s="25">
        <f>G14/$H$14*100</f>
        <v>12.226066897347174</v>
      </c>
      <c r="H15" s="22"/>
      <c r="S15" s="68"/>
      <c r="T15" s="68"/>
      <c r="U15" s="68"/>
      <c r="V15" s="68"/>
      <c r="W15" s="68"/>
      <c r="X15" s="68"/>
    </row>
    <row r="16" spans="1:24" x14ac:dyDescent="0.25">
      <c r="A16" s="15" t="s">
        <v>0</v>
      </c>
      <c r="B16" s="22" t="s">
        <v>30</v>
      </c>
      <c r="C16" s="44">
        <f>SUM(C14,C12,C10,C8,C6,C4)</f>
        <v>10550</v>
      </c>
      <c r="D16" s="44">
        <f t="shared" ref="D16:H16" si="5">SUM(D14,D12,D10,D8,D6,D4)</f>
        <v>6202</v>
      </c>
      <c r="E16" s="44">
        <f t="shared" si="5"/>
        <v>4285</v>
      </c>
      <c r="F16" s="44">
        <f t="shared" si="5"/>
        <v>1238</v>
      </c>
      <c r="G16" s="44">
        <f t="shared" si="5"/>
        <v>4465</v>
      </c>
      <c r="H16" s="44">
        <f t="shared" si="5"/>
        <v>20013</v>
      </c>
      <c r="S16" s="68"/>
      <c r="T16" s="68"/>
      <c r="U16" s="68"/>
      <c r="V16" s="68"/>
      <c r="W16" s="68"/>
      <c r="X16" s="68"/>
    </row>
    <row r="17" spans="1:10" x14ac:dyDescent="0.25">
      <c r="A17" s="15"/>
      <c r="B17" s="17" t="s">
        <v>29</v>
      </c>
      <c r="C17" s="48">
        <f>C16/$H$16*100</f>
        <v>52.715734772397937</v>
      </c>
      <c r="D17" s="48">
        <f>D16/$H$16*100</f>
        <v>30.989856593214409</v>
      </c>
      <c r="E17" s="48">
        <f>E16/$H$16*100</f>
        <v>21.41108279618248</v>
      </c>
      <c r="F17" s="48">
        <f>F16/$H$16*100</f>
        <v>6.1859791135761757</v>
      </c>
      <c r="G17" s="48">
        <f>G16/$H$16*100</f>
        <v>22.310498176185479</v>
      </c>
      <c r="H17" s="7"/>
    </row>
    <row r="18" spans="1:10" x14ac:dyDescent="0.25">
      <c r="A18" s="3" t="s">
        <v>7</v>
      </c>
    </row>
    <row r="19" spans="1:10" x14ac:dyDescent="0.25">
      <c r="A19" s="78" t="s">
        <v>28</v>
      </c>
      <c r="B19" s="79" t="s">
        <v>74</v>
      </c>
      <c r="C19" s="79"/>
      <c r="D19" s="79"/>
      <c r="E19" s="79"/>
      <c r="F19" s="79"/>
      <c r="G19" s="79"/>
      <c r="H19" s="79"/>
    </row>
    <row r="20" spans="1:10" x14ac:dyDescent="0.25">
      <c r="A20" s="78"/>
      <c r="B20" s="79"/>
      <c r="C20" s="79"/>
      <c r="D20" s="79"/>
      <c r="E20" s="79"/>
      <c r="F20" s="79"/>
      <c r="G20" s="79"/>
      <c r="H20" s="79"/>
    </row>
    <row r="21" spans="1:10" ht="17.25" x14ac:dyDescent="0.25">
      <c r="A21" s="32"/>
      <c r="B21" s="7"/>
      <c r="C21" s="39" t="s">
        <v>69</v>
      </c>
      <c r="D21" s="39" t="s">
        <v>87</v>
      </c>
      <c r="E21" s="24" t="s">
        <v>86</v>
      </c>
      <c r="F21" s="24" t="s">
        <v>67</v>
      </c>
      <c r="G21" s="39" t="s">
        <v>70</v>
      </c>
      <c r="H21" s="39" t="s">
        <v>85</v>
      </c>
    </row>
    <row r="22" spans="1:10" x14ac:dyDescent="0.25">
      <c r="A22" s="15" t="s">
        <v>103</v>
      </c>
      <c r="B22" s="18" t="s">
        <v>30</v>
      </c>
      <c r="C22" s="42">
        <v>4118</v>
      </c>
      <c r="D22" s="42">
        <v>2703</v>
      </c>
      <c r="E22" s="45">
        <v>755</v>
      </c>
      <c r="F22" s="18">
        <v>438</v>
      </c>
      <c r="G22" s="37">
        <v>2117</v>
      </c>
      <c r="H22" s="18">
        <v>7429</v>
      </c>
    </row>
    <row r="23" spans="1:10" x14ac:dyDescent="0.25">
      <c r="A23" s="15"/>
      <c r="B23" s="22" t="s">
        <v>29</v>
      </c>
      <c r="C23" s="25">
        <f>C22/$H22*100</f>
        <v>55.43141741822587</v>
      </c>
      <c r="D23" s="25">
        <f>D22/$H22*100</f>
        <v>36.384439359267731</v>
      </c>
      <c r="E23" s="25">
        <f>E22/$H22*100</f>
        <v>10.16287521873738</v>
      </c>
      <c r="F23" s="25">
        <f>F22/$H22*100</f>
        <v>5.8958137030555928</v>
      </c>
      <c r="G23" s="25">
        <f>G22/$H22*100</f>
        <v>28.496432898102032</v>
      </c>
      <c r="H23" s="25"/>
    </row>
    <row r="24" spans="1:10" x14ac:dyDescent="0.25">
      <c r="A24" s="15" t="s">
        <v>27</v>
      </c>
      <c r="B24" s="22" t="s">
        <v>30</v>
      </c>
      <c r="C24" s="34">
        <v>900</v>
      </c>
      <c r="D24" s="34">
        <v>681</v>
      </c>
      <c r="E24" s="43">
        <v>626</v>
      </c>
      <c r="F24" s="22">
        <v>174</v>
      </c>
      <c r="G24" s="34">
        <v>590</v>
      </c>
      <c r="H24" s="22">
        <v>2010</v>
      </c>
      <c r="J24" t="s">
        <v>94</v>
      </c>
    </row>
    <row r="25" spans="1:10" x14ac:dyDescent="0.25">
      <c r="A25" s="15"/>
      <c r="B25" s="22" t="s">
        <v>29</v>
      </c>
      <c r="C25" s="25">
        <f>C24/$H24*100</f>
        <v>44.776119402985074</v>
      </c>
      <c r="D25" s="25">
        <f>D24/$H24*100</f>
        <v>33.880597014925371</v>
      </c>
      <c r="E25" s="25">
        <f>E24/$H24*100</f>
        <v>31.144278606965177</v>
      </c>
      <c r="F25" s="25">
        <f>F24/$H24*100</f>
        <v>8.6567164179104488</v>
      </c>
      <c r="G25" s="25">
        <f>G24/$H24*100</f>
        <v>29.35323383084577</v>
      </c>
      <c r="H25" s="22"/>
      <c r="J25" t="s">
        <v>95</v>
      </c>
    </row>
    <row r="26" spans="1:10" x14ac:dyDescent="0.25">
      <c r="A26" s="15" t="s">
        <v>8</v>
      </c>
      <c r="B26" s="22" t="s">
        <v>30</v>
      </c>
      <c r="C26" s="43">
        <v>993</v>
      </c>
      <c r="D26" s="34">
        <v>638</v>
      </c>
      <c r="E26" s="43">
        <v>509</v>
      </c>
      <c r="F26" s="22">
        <v>87</v>
      </c>
      <c r="G26" s="34">
        <v>203</v>
      </c>
      <c r="H26" s="22">
        <v>1761</v>
      </c>
    </row>
    <row r="27" spans="1:10" x14ac:dyDescent="0.25">
      <c r="A27" s="15"/>
      <c r="B27" s="22" t="s">
        <v>29</v>
      </c>
      <c r="C27" s="25">
        <f>C26/$H26*100</f>
        <v>56.388415672913119</v>
      </c>
      <c r="D27" s="25">
        <f>D26/$H26*100</f>
        <v>36.229415105053945</v>
      </c>
      <c r="E27" s="25">
        <f>E26/$H26*100</f>
        <v>28.904031800113572</v>
      </c>
      <c r="F27" s="25">
        <f>F26/$H26*100</f>
        <v>4.9403747870528107</v>
      </c>
      <c r="G27" s="25">
        <f>G26/$H26*100</f>
        <v>11.527541169789894</v>
      </c>
      <c r="H27" s="22"/>
    </row>
    <row r="28" spans="1:10" x14ac:dyDescent="0.25">
      <c r="A28" s="15" t="s">
        <v>26</v>
      </c>
      <c r="B28" s="22" t="s">
        <v>30</v>
      </c>
      <c r="C28" s="43">
        <v>709</v>
      </c>
      <c r="D28" s="34">
        <v>491</v>
      </c>
      <c r="E28" s="43">
        <v>258</v>
      </c>
      <c r="F28" s="22">
        <v>79</v>
      </c>
      <c r="G28" s="34">
        <v>737</v>
      </c>
      <c r="H28" s="22">
        <v>1684</v>
      </c>
    </row>
    <row r="29" spans="1:10" x14ac:dyDescent="0.25">
      <c r="A29" s="15"/>
      <c r="B29" s="22" t="s">
        <v>29</v>
      </c>
      <c r="C29" s="25">
        <f>C28/$H28*100</f>
        <v>42.102137767220903</v>
      </c>
      <c r="D29" s="25">
        <f>D28/$H28*100</f>
        <v>29.156769596199528</v>
      </c>
      <c r="E29" s="25">
        <f>E28/$H28*100</f>
        <v>15.320665083135394</v>
      </c>
      <c r="F29" s="25">
        <f>F28/$H28*100</f>
        <v>4.6912114014251776</v>
      </c>
      <c r="G29" s="25">
        <f>G28/$H28*100</f>
        <v>43.764845605700714</v>
      </c>
      <c r="H29" s="22"/>
    </row>
    <row r="30" spans="1:10" x14ac:dyDescent="0.25">
      <c r="A30" s="15" t="s">
        <v>1</v>
      </c>
      <c r="B30" s="22" t="s">
        <v>30</v>
      </c>
      <c r="C30" s="34">
        <v>328</v>
      </c>
      <c r="D30" s="34">
        <v>171</v>
      </c>
      <c r="E30" s="43">
        <v>75</v>
      </c>
      <c r="F30" s="22">
        <v>22</v>
      </c>
      <c r="G30" s="34">
        <v>121</v>
      </c>
      <c r="H30" s="22">
        <v>537</v>
      </c>
    </row>
    <row r="31" spans="1:10" x14ac:dyDescent="0.25">
      <c r="A31" s="15"/>
      <c r="B31" s="22" t="s">
        <v>29</v>
      </c>
      <c r="C31" s="25">
        <f>C30/$H30*100</f>
        <v>61.080074487895722</v>
      </c>
      <c r="D31" s="25">
        <f>D30/$H30*100</f>
        <v>31.843575418994412</v>
      </c>
      <c r="E31" s="25">
        <f>E30/$H30*100</f>
        <v>13.966480446927374</v>
      </c>
      <c r="F31" s="25">
        <f>F30/$H30*100</f>
        <v>4.0968342644320295</v>
      </c>
      <c r="G31" s="25">
        <f>G30/$H30*100</f>
        <v>22.532588454376164</v>
      </c>
      <c r="H31" s="22"/>
    </row>
    <row r="32" spans="1:10" x14ac:dyDescent="0.25">
      <c r="A32" t="s">
        <v>10</v>
      </c>
      <c r="B32" s="22" t="s">
        <v>30</v>
      </c>
      <c r="C32" s="34">
        <v>296</v>
      </c>
      <c r="D32" s="34">
        <v>232</v>
      </c>
      <c r="E32" s="43">
        <v>103</v>
      </c>
      <c r="F32" s="22">
        <v>40</v>
      </c>
      <c r="G32" s="34">
        <v>100</v>
      </c>
      <c r="H32" s="22">
        <v>568</v>
      </c>
    </row>
    <row r="33" spans="1:8" x14ac:dyDescent="0.25">
      <c r="A33" s="15"/>
      <c r="B33" s="22" t="s">
        <v>29</v>
      </c>
      <c r="C33" s="25">
        <f>C32/$H$32*100</f>
        <v>52.112676056338024</v>
      </c>
      <c r="D33" s="25">
        <f t="shared" ref="D33:G33" si="6">D32/$H$32*100</f>
        <v>40.845070422535215</v>
      </c>
      <c r="E33" s="25">
        <f t="shared" si="6"/>
        <v>18.133802816901408</v>
      </c>
      <c r="F33" s="25">
        <f t="shared" si="6"/>
        <v>7.042253521126761</v>
      </c>
      <c r="G33" s="25">
        <f t="shared" si="6"/>
        <v>17.6056338028169</v>
      </c>
      <c r="H33" s="22"/>
    </row>
    <row r="34" spans="1:8" x14ac:dyDescent="0.25">
      <c r="A34" s="15" t="s">
        <v>0</v>
      </c>
      <c r="B34" s="22" t="s">
        <v>30</v>
      </c>
      <c r="C34" s="44">
        <f>SUM(C32,C30,C28,C26,C24,C22)</f>
        <v>7344</v>
      </c>
      <c r="D34" s="44">
        <f t="shared" ref="D34:H34" si="7">SUM(D32,D30,D28,D26,D24,D22)</f>
        <v>4916</v>
      </c>
      <c r="E34" s="44">
        <f t="shared" si="7"/>
        <v>2326</v>
      </c>
      <c r="F34" s="44">
        <f t="shared" si="7"/>
        <v>840</v>
      </c>
      <c r="G34" s="44">
        <f t="shared" si="7"/>
        <v>3868</v>
      </c>
      <c r="H34" s="44">
        <f t="shared" si="7"/>
        <v>13989</v>
      </c>
    </row>
    <row r="35" spans="1:8" x14ac:dyDescent="0.25">
      <c r="A35" s="15"/>
      <c r="B35" s="26" t="s">
        <v>29</v>
      </c>
      <c r="C35" s="48">
        <f>C34/$H34*100</f>
        <v>52.498391593394814</v>
      </c>
      <c r="D35" s="48">
        <f>D34/$H34*100</f>
        <v>35.141897204946744</v>
      </c>
      <c r="E35" s="48">
        <f>E34/$H34*100</f>
        <v>16.627350060762026</v>
      </c>
      <c r="F35" s="48">
        <f>F34/$H34*100</f>
        <v>6.0047179927085566</v>
      </c>
      <c r="G35" s="48">
        <f>G34/$H34*100</f>
        <v>27.650296661662736</v>
      </c>
      <c r="H35" s="27"/>
    </row>
    <row r="36" spans="1:8" x14ac:dyDescent="0.25">
      <c r="A36" s="3" t="s">
        <v>6</v>
      </c>
    </row>
    <row r="37" spans="1:8" x14ac:dyDescent="0.25">
      <c r="A37" s="78" t="s">
        <v>28</v>
      </c>
      <c r="B37" s="79" t="s">
        <v>75</v>
      </c>
      <c r="C37" s="79"/>
      <c r="D37" s="79"/>
      <c r="E37" s="79"/>
      <c r="F37" s="79"/>
      <c r="G37" s="79"/>
      <c r="H37" s="79"/>
    </row>
    <row r="38" spans="1:8" x14ac:dyDescent="0.25">
      <c r="A38" s="78"/>
      <c r="B38" s="79"/>
      <c r="C38" s="79"/>
      <c r="D38" s="79"/>
      <c r="E38" s="79"/>
      <c r="F38" s="79"/>
      <c r="G38" s="79"/>
      <c r="H38" s="79"/>
    </row>
    <row r="39" spans="1:8" ht="17.25" x14ac:dyDescent="0.25">
      <c r="A39" s="32"/>
      <c r="B39" s="7"/>
      <c r="C39" s="39" t="s">
        <v>69</v>
      </c>
      <c r="D39" s="39" t="s">
        <v>87</v>
      </c>
      <c r="E39" s="24" t="s">
        <v>86</v>
      </c>
      <c r="F39" s="24" t="s">
        <v>67</v>
      </c>
      <c r="G39" s="39" t="s">
        <v>70</v>
      </c>
      <c r="H39" s="39" t="s">
        <v>85</v>
      </c>
    </row>
    <row r="40" spans="1:8" x14ac:dyDescent="0.25">
      <c r="A40" s="15" t="s">
        <v>103</v>
      </c>
      <c r="B40" s="18" t="s">
        <v>30</v>
      </c>
      <c r="C40" s="42">
        <v>1366</v>
      </c>
      <c r="D40" s="42">
        <v>463</v>
      </c>
      <c r="E40" s="45">
        <v>523</v>
      </c>
      <c r="F40" s="18">
        <v>169</v>
      </c>
      <c r="G40" s="37">
        <v>260</v>
      </c>
      <c r="H40" s="16">
        <v>2297</v>
      </c>
    </row>
    <row r="41" spans="1:8" x14ac:dyDescent="0.25">
      <c r="A41" s="15"/>
      <c r="B41" s="22" t="s">
        <v>29</v>
      </c>
      <c r="C41" s="25">
        <f>C40/$H40*100</f>
        <v>59.468872442316069</v>
      </c>
      <c r="D41" s="25">
        <f t="shared" ref="D41:G41" si="8">D40/$H40*100</f>
        <v>20.156726164562471</v>
      </c>
      <c r="E41" s="25">
        <f t="shared" si="8"/>
        <v>22.768828907270354</v>
      </c>
      <c r="F41" s="25">
        <f t="shared" si="8"/>
        <v>7.357422725293862</v>
      </c>
      <c r="G41" s="25">
        <f t="shared" si="8"/>
        <v>11.319111885067478</v>
      </c>
      <c r="H41" s="22"/>
    </row>
    <row r="42" spans="1:8" x14ac:dyDescent="0.25">
      <c r="A42" s="15" t="s">
        <v>27</v>
      </c>
      <c r="B42" s="22" t="s">
        <v>30</v>
      </c>
      <c r="C42" s="34">
        <v>495</v>
      </c>
      <c r="D42" s="34">
        <v>265</v>
      </c>
      <c r="E42" s="43">
        <v>527</v>
      </c>
      <c r="F42" s="22">
        <v>95</v>
      </c>
      <c r="G42" s="34">
        <v>125</v>
      </c>
      <c r="H42" s="16">
        <v>1149</v>
      </c>
    </row>
    <row r="43" spans="1:8" x14ac:dyDescent="0.25">
      <c r="A43" s="15"/>
      <c r="B43" s="22" t="s">
        <v>29</v>
      </c>
      <c r="C43" s="25">
        <f>C42/$H42*100</f>
        <v>43.080939947780678</v>
      </c>
      <c r="D43" s="25">
        <f t="shared" ref="D43:G43" si="9">D42/$H42*100</f>
        <v>23.063533507397736</v>
      </c>
      <c r="E43" s="25">
        <f t="shared" si="9"/>
        <v>45.86597040905135</v>
      </c>
      <c r="F43" s="25">
        <f t="shared" si="9"/>
        <v>8.2680591818973035</v>
      </c>
      <c r="G43" s="25">
        <f t="shared" si="9"/>
        <v>10.879025239338555</v>
      </c>
      <c r="H43" s="22"/>
    </row>
    <row r="44" spans="1:8" x14ac:dyDescent="0.25">
      <c r="A44" s="15" t="s">
        <v>8</v>
      </c>
      <c r="B44" s="22" t="s">
        <v>30</v>
      </c>
      <c r="C44" s="43">
        <v>599</v>
      </c>
      <c r="D44" s="34">
        <v>237</v>
      </c>
      <c r="E44" s="43">
        <v>469</v>
      </c>
      <c r="F44" s="22">
        <v>52</v>
      </c>
      <c r="G44" s="34">
        <v>27</v>
      </c>
      <c r="H44" s="16">
        <v>1131</v>
      </c>
    </row>
    <row r="45" spans="1:8" x14ac:dyDescent="0.25">
      <c r="A45" s="15"/>
      <c r="B45" s="22" t="s">
        <v>29</v>
      </c>
      <c r="C45" s="25">
        <f>C44/$H44*100</f>
        <v>52.961980548187448</v>
      </c>
      <c r="D45" s="25">
        <f t="shared" ref="D45:G45" si="10">D44/$H44*100</f>
        <v>20.954907161803714</v>
      </c>
      <c r="E45" s="25">
        <f t="shared" si="10"/>
        <v>41.467727674624228</v>
      </c>
      <c r="F45" s="25">
        <f t="shared" si="10"/>
        <v>4.5977011494252871</v>
      </c>
      <c r="G45" s="25">
        <f t="shared" si="10"/>
        <v>2.3872679045092835</v>
      </c>
      <c r="H45" s="22"/>
    </row>
    <row r="46" spans="1:8" x14ac:dyDescent="0.25">
      <c r="A46" s="15" t="s">
        <v>26</v>
      </c>
      <c r="B46" s="22" t="s">
        <v>30</v>
      </c>
      <c r="C46" s="43">
        <v>448</v>
      </c>
      <c r="D46" s="34">
        <v>201</v>
      </c>
      <c r="E46" s="43">
        <v>250</v>
      </c>
      <c r="F46" s="22">
        <v>54</v>
      </c>
      <c r="G46" s="34">
        <v>168</v>
      </c>
      <c r="H46" s="16">
        <v>897</v>
      </c>
    </row>
    <row r="47" spans="1:8" x14ac:dyDescent="0.25">
      <c r="A47" s="15"/>
      <c r="B47" s="22" t="s">
        <v>29</v>
      </c>
      <c r="C47" s="25">
        <f>C46/$H46*100</f>
        <v>49.944258639910814</v>
      </c>
      <c r="D47" s="25">
        <f t="shared" ref="D47:G47" si="11">D46/$H46*100</f>
        <v>22.408026755852841</v>
      </c>
      <c r="E47" s="25">
        <f t="shared" si="11"/>
        <v>27.870680044593087</v>
      </c>
      <c r="F47" s="25">
        <f t="shared" si="11"/>
        <v>6.0200668896321075</v>
      </c>
      <c r="G47" s="25">
        <f t="shared" si="11"/>
        <v>18.729096989966553</v>
      </c>
      <c r="H47" s="22"/>
    </row>
    <row r="48" spans="1:8" x14ac:dyDescent="0.25">
      <c r="A48" s="15" t="s">
        <v>1</v>
      </c>
      <c r="B48" s="22" t="s">
        <v>30</v>
      </c>
      <c r="C48" s="34">
        <v>137</v>
      </c>
      <c r="D48" s="34">
        <v>43</v>
      </c>
      <c r="E48" s="43">
        <v>82</v>
      </c>
      <c r="F48" s="22">
        <v>14</v>
      </c>
      <c r="G48" s="34">
        <v>10</v>
      </c>
      <c r="H48" s="54">
        <v>248</v>
      </c>
    </row>
    <row r="49" spans="1:8" x14ac:dyDescent="0.25">
      <c r="A49" s="15"/>
      <c r="B49" s="22" t="s">
        <v>29</v>
      </c>
      <c r="C49" s="25">
        <f>C48/$H48*100</f>
        <v>55.241935483870961</v>
      </c>
      <c r="D49" s="25">
        <f t="shared" ref="D49:G49" si="12">D48/$H48*100</f>
        <v>17.338709677419356</v>
      </c>
      <c r="E49" s="25">
        <f t="shared" si="12"/>
        <v>33.064516129032256</v>
      </c>
      <c r="F49" s="25">
        <f t="shared" si="12"/>
        <v>5.6451612903225801</v>
      </c>
      <c r="G49" s="25">
        <f t="shared" si="12"/>
        <v>4.032258064516129</v>
      </c>
      <c r="H49" s="22"/>
    </row>
    <row r="50" spans="1:8" x14ac:dyDescent="0.25">
      <c r="A50" t="s">
        <v>10</v>
      </c>
      <c r="B50" s="22" t="s">
        <v>30</v>
      </c>
      <c r="C50" s="34">
        <v>160</v>
      </c>
      <c r="D50" s="34">
        <v>77</v>
      </c>
      <c r="E50" s="43">
        <v>107</v>
      </c>
      <c r="F50" s="22">
        <v>14</v>
      </c>
      <c r="G50" s="34">
        <v>6</v>
      </c>
      <c r="H50" s="54">
        <v>299</v>
      </c>
    </row>
    <row r="51" spans="1:8" x14ac:dyDescent="0.25">
      <c r="A51" s="15"/>
      <c r="B51" s="22" t="s">
        <v>29</v>
      </c>
      <c r="C51" s="25">
        <f>C50/$H50*100</f>
        <v>53.511705685618729</v>
      </c>
      <c r="D51" s="25">
        <f t="shared" ref="D51:G51" si="13">D50/$H50*100</f>
        <v>25.752508361204011</v>
      </c>
      <c r="E51" s="25">
        <f t="shared" si="13"/>
        <v>35.785953177257525</v>
      </c>
      <c r="F51" s="25">
        <f t="shared" si="13"/>
        <v>4.6822742474916383</v>
      </c>
      <c r="G51" s="25">
        <f t="shared" si="13"/>
        <v>2.0066889632107023</v>
      </c>
      <c r="H51" s="22"/>
    </row>
    <row r="52" spans="1:8" x14ac:dyDescent="0.25">
      <c r="A52" s="15" t="s">
        <v>0</v>
      </c>
      <c r="B52" s="22" t="s">
        <v>30</v>
      </c>
      <c r="C52" s="44">
        <f t="shared" ref="C52:H52" si="14">SUM(C50,C48,C46,C44,C42,C40)</f>
        <v>3205</v>
      </c>
      <c r="D52" s="34">
        <f t="shared" si="14"/>
        <v>1286</v>
      </c>
      <c r="E52" s="46">
        <f t="shared" si="14"/>
        <v>1958</v>
      </c>
      <c r="F52" s="22">
        <f t="shared" si="14"/>
        <v>398</v>
      </c>
      <c r="G52" s="34">
        <f t="shared" si="14"/>
        <v>596</v>
      </c>
      <c r="H52" s="22">
        <f t="shared" si="14"/>
        <v>6021</v>
      </c>
    </row>
    <row r="53" spans="1:8" x14ac:dyDescent="0.25">
      <c r="A53" s="15"/>
      <c r="B53" s="17" t="s">
        <v>29</v>
      </c>
      <c r="C53" s="48">
        <f>C52/$H52*100</f>
        <v>53.230360405248298</v>
      </c>
      <c r="D53" s="48">
        <f>D52/$H52*100</f>
        <v>21.358578309250955</v>
      </c>
      <c r="E53" s="48">
        <f>E52/$H52*100</f>
        <v>32.519515030725792</v>
      </c>
      <c r="F53" s="48">
        <f>F52/$H52*100</f>
        <v>6.6101976415877752</v>
      </c>
      <c r="G53" s="48">
        <f>G52/$H52*100</f>
        <v>9.8986879255937552</v>
      </c>
      <c r="H53" s="27"/>
    </row>
    <row r="54" spans="1:8" x14ac:dyDescent="0.25">
      <c r="A54" t="s">
        <v>99</v>
      </c>
    </row>
  </sheetData>
  <mergeCells count="8">
    <mergeCell ref="A37:A38"/>
    <mergeCell ref="B37:H38"/>
    <mergeCell ref="A1:A2"/>
    <mergeCell ref="B1:H2"/>
    <mergeCell ref="K2:N4"/>
    <mergeCell ref="K6:N8"/>
    <mergeCell ref="A19:A20"/>
    <mergeCell ref="B19:H20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52:H52" formula="1"/>
  </ignoredError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7"/>
  <sheetViews>
    <sheetView tabSelected="1" zoomScaleNormal="100" workbookViewId="0">
      <selection activeCell="O33" sqref="O33"/>
    </sheetView>
  </sheetViews>
  <sheetFormatPr defaultRowHeight="15" x14ac:dyDescent="0.25"/>
  <cols>
    <col min="1" max="1" width="13.85546875" customWidth="1"/>
    <col min="2" max="2" width="5.140625" customWidth="1"/>
    <col min="3" max="3" width="5.5703125" bestFit="1" customWidth="1"/>
    <col min="4" max="11" width="7.5703125" bestFit="1" customWidth="1"/>
    <col min="12" max="12" width="10.140625" bestFit="1" customWidth="1"/>
    <col min="14" max="14" width="17.140625" customWidth="1"/>
    <col min="18" max="18" width="13.5703125" bestFit="1" customWidth="1"/>
    <col min="19" max="19" width="13.85546875" bestFit="1" customWidth="1"/>
    <col min="20" max="20" width="14.5703125" bestFit="1" customWidth="1"/>
    <col min="21" max="21" width="13.85546875" bestFit="1" customWidth="1"/>
    <col min="22" max="22" width="13.7109375" bestFit="1" customWidth="1"/>
    <col min="23" max="23" width="13.5703125" bestFit="1" customWidth="1"/>
    <col min="24" max="24" width="13.85546875" bestFit="1" customWidth="1"/>
    <col min="25" max="25" width="14.5703125" bestFit="1" customWidth="1"/>
    <col min="26" max="26" width="13.85546875" bestFit="1" customWidth="1"/>
    <col min="27" max="27" width="13.7109375" bestFit="1" customWidth="1"/>
  </cols>
  <sheetData>
    <row r="1" spans="1:23" ht="15" customHeight="1" x14ac:dyDescent="0.25">
      <c r="A1" s="78" t="s">
        <v>77</v>
      </c>
      <c r="B1" s="79" t="s">
        <v>54</v>
      </c>
      <c r="C1" s="79"/>
      <c r="D1" s="79"/>
      <c r="E1" s="79"/>
      <c r="F1" s="79"/>
      <c r="G1" s="79"/>
      <c r="H1" s="79"/>
      <c r="I1" s="79"/>
      <c r="J1" s="79"/>
      <c r="K1" s="79"/>
      <c r="L1" s="79"/>
      <c r="U1" s="59"/>
      <c r="V1" s="59"/>
      <c r="W1" s="59"/>
    </row>
    <row r="2" spans="1:23" x14ac:dyDescent="0.25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59"/>
      <c r="O2" s="81" t="s">
        <v>79</v>
      </c>
      <c r="P2" s="81"/>
      <c r="Q2" s="81"/>
      <c r="R2" s="81"/>
      <c r="U2" s="59"/>
      <c r="V2" s="59"/>
      <c r="W2" s="59"/>
    </row>
    <row r="3" spans="1:23" x14ac:dyDescent="0.25">
      <c r="A3" s="15"/>
      <c r="B3" s="7"/>
      <c r="C3" s="17" t="s">
        <v>14</v>
      </c>
      <c r="D3" s="17" t="s">
        <v>46</v>
      </c>
      <c r="E3" s="17" t="s">
        <v>50</v>
      </c>
      <c r="F3" s="17" t="s">
        <v>17</v>
      </c>
      <c r="G3" s="17" t="s">
        <v>47</v>
      </c>
      <c r="H3" s="17" t="s">
        <v>48</v>
      </c>
      <c r="I3" s="17" t="s">
        <v>49</v>
      </c>
      <c r="J3" s="17" t="s">
        <v>51</v>
      </c>
      <c r="K3" s="17" t="s">
        <v>66</v>
      </c>
      <c r="L3" s="57" t="s">
        <v>88</v>
      </c>
      <c r="O3" s="81"/>
      <c r="P3" s="81"/>
      <c r="Q3" s="81"/>
      <c r="R3" s="81"/>
    </row>
    <row r="4" spans="1:23" x14ac:dyDescent="0.25">
      <c r="A4" s="15" t="s">
        <v>69</v>
      </c>
      <c r="B4" s="16" t="s">
        <v>30</v>
      </c>
      <c r="C4" s="15">
        <v>299</v>
      </c>
      <c r="D4" s="15">
        <v>1148</v>
      </c>
      <c r="E4" s="15">
        <v>1455</v>
      </c>
      <c r="F4" s="15">
        <v>1497</v>
      </c>
      <c r="G4" s="15">
        <v>1413</v>
      </c>
      <c r="H4" s="15">
        <v>798</v>
      </c>
      <c r="I4" s="15">
        <v>492</v>
      </c>
      <c r="J4" s="15">
        <v>265</v>
      </c>
      <c r="K4" s="15">
        <v>162</v>
      </c>
      <c r="L4" s="9">
        <f>SUM(C4:K4)</f>
        <v>7529</v>
      </c>
      <c r="O4" s="81"/>
      <c r="P4" s="81"/>
      <c r="Q4" s="81"/>
      <c r="R4" s="81"/>
    </row>
    <row r="5" spans="1:23" x14ac:dyDescent="0.25">
      <c r="A5" s="15"/>
      <c r="B5" s="22" t="s">
        <v>29</v>
      </c>
      <c r="C5" s="10">
        <f>(C4/C14)*100</f>
        <v>27.107887579329105</v>
      </c>
      <c r="D5" s="10">
        <f t="shared" ref="D5:L5" si="0">(D4/D14)*100</f>
        <v>38.126868150116238</v>
      </c>
      <c r="E5" s="10">
        <f t="shared" si="0"/>
        <v>65.246636771300444</v>
      </c>
      <c r="F5" s="10">
        <f t="shared" si="0"/>
        <v>71.524128045867172</v>
      </c>
      <c r="G5" s="10">
        <f t="shared" si="0"/>
        <v>71.508097165991899</v>
      </c>
      <c r="H5" s="10">
        <f t="shared" si="0"/>
        <v>65.089722675367042</v>
      </c>
      <c r="I5" s="10">
        <f t="shared" si="0"/>
        <v>44.808743169398909</v>
      </c>
      <c r="J5" s="10">
        <f t="shared" si="0"/>
        <v>32.555282555282552</v>
      </c>
      <c r="K5" s="10">
        <f t="shared" si="0"/>
        <v>25</v>
      </c>
      <c r="L5" s="60">
        <f t="shared" si="0"/>
        <v>53.024860905697579</v>
      </c>
    </row>
    <row r="6" spans="1:23" ht="15" customHeight="1" x14ac:dyDescent="0.25">
      <c r="A6" s="15" t="s">
        <v>89</v>
      </c>
      <c r="B6" s="22" t="s">
        <v>30</v>
      </c>
      <c r="C6" s="9">
        <v>198</v>
      </c>
      <c r="D6" s="9">
        <v>777</v>
      </c>
      <c r="E6" s="9">
        <v>657</v>
      </c>
      <c r="F6" s="9">
        <v>732</v>
      </c>
      <c r="G6" s="9">
        <v>777</v>
      </c>
      <c r="H6" s="9">
        <v>460</v>
      </c>
      <c r="I6" s="9">
        <v>351</v>
      </c>
      <c r="J6" s="9">
        <v>238</v>
      </c>
      <c r="K6" s="9">
        <v>159</v>
      </c>
      <c r="L6" s="9">
        <f>SUM(C6:K6)</f>
        <v>4349</v>
      </c>
      <c r="O6" s="77" t="s">
        <v>84</v>
      </c>
      <c r="P6" s="77"/>
      <c r="Q6" s="77"/>
      <c r="R6" s="77"/>
    </row>
    <row r="7" spans="1:23" ht="15" customHeight="1" x14ac:dyDescent="0.25">
      <c r="A7" s="15"/>
      <c r="B7" s="22" t="s">
        <v>29</v>
      </c>
      <c r="C7" s="10">
        <f>(C6/C$14)*100</f>
        <v>17.951042611060743</v>
      </c>
      <c r="D7" s="10">
        <f t="shared" ref="D7:L7" si="1">(D6/D$14)*100</f>
        <v>25.805380272334773</v>
      </c>
      <c r="E7" s="10">
        <f t="shared" si="1"/>
        <v>29.461883408071749</v>
      </c>
      <c r="F7" s="10">
        <f t="shared" si="1"/>
        <v>34.97372193024367</v>
      </c>
      <c r="G7" s="10">
        <f t="shared" si="1"/>
        <v>39.321862348178136</v>
      </c>
      <c r="H7" s="10">
        <f t="shared" si="1"/>
        <v>37.520391517128878</v>
      </c>
      <c r="I7" s="10">
        <f t="shared" si="1"/>
        <v>31.967213114754102</v>
      </c>
      <c r="J7" s="10">
        <f t="shared" si="1"/>
        <v>29.238329238329236</v>
      </c>
      <c r="K7" s="10">
        <f t="shared" si="1"/>
        <v>24.537037037037038</v>
      </c>
      <c r="L7" s="60">
        <f t="shared" si="1"/>
        <v>30.628917529403477</v>
      </c>
      <c r="O7" s="77"/>
      <c r="P7" s="77"/>
      <c r="Q7" s="77"/>
      <c r="R7" s="77"/>
    </row>
    <row r="8" spans="1:23" ht="15" customHeight="1" x14ac:dyDescent="0.25">
      <c r="A8" s="15" t="s">
        <v>86</v>
      </c>
      <c r="B8" s="22" t="s">
        <v>30</v>
      </c>
      <c r="C8" s="9">
        <v>493</v>
      </c>
      <c r="D8" s="9">
        <v>573</v>
      </c>
      <c r="E8" s="9">
        <v>152</v>
      </c>
      <c r="F8" s="9">
        <v>125</v>
      </c>
      <c r="G8" s="9">
        <v>177</v>
      </c>
      <c r="H8" s="9">
        <v>242</v>
      </c>
      <c r="I8" s="9">
        <v>484</v>
      </c>
      <c r="J8" s="9">
        <v>494</v>
      </c>
      <c r="K8" s="9">
        <v>487</v>
      </c>
      <c r="L8" s="9">
        <f>SUM(C8:K8)</f>
        <v>3227</v>
      </c>
      <c r="O8" s="77"/>
      <c r="P8" s="77"/>
      <c r="Q8" s="77"/>
      <c r="R8" s="77"/>
    </row>
    <row r="9" spans="1:23" x14ac:dyDescent="0.25">
      <c r="A9" s="15"/>
      <c r="B9" s="22" t="s">
        <v>29</v>
      </c>
      <c r="C9" s="10">
        <f>(C8/C$14)*100</f>
        <v>44.696282864913869</v>
      </c>
      <c r="D9" s="10">
        <f t="shared" ref="D9:L9" si="2">(D8/D$14)*100</f>
        <v>19.030222517436069</v>
      </c>
      <c r="E9" s="10">
        <f t="shared" si="2"/>
        <v>6.8161434977578468</v>
      </c>
      <c r="F9" s="10">
        <f t="shared" si="2"/>
        <v>5.972288580984233</v>
      </c>
      <c r="G9" s="10">
        <f t="shared" si="2"/>
        <v>8.9574898785425106</v>
      </c>
      <c r="H9" s="10">
        <f t="shared" si="2"/>
        <v>19.738988580750409</v>
      </c>
      <c r="I9" s="10">
        <f t="shared" si="2"/>
        <v>44.080145719489984</v>
      </c>
      <c r="J9" s="10">
        <f t="shared" si="2"/>
        <v>60.687960687960683</v>
      </c>
      <c r="K9" s="10">
        <f t="shared" si="2"/>
        <v>75.154320987654316</v>
      </c>
      <c r="L9" s="60">
        <f t="shared" si="2"/>
        <v>22.726952602295935</v>
      </c>
    </row>
    <row r="10" spans="1:23" x14ac:dyDescent="0.25">
      <c r="A10" s="15" t="s">
        <v>67</v>
      </c>
      <c r="B10" s="22" t="s">
        <v>30</v>
      </c>
      <c r="C10" s="9">
        <v>40</v>
      </c>
      <c r="D10" s="9">
        <v>208</v>
      </c>
      <c r="E10" s="9">
        <v>169</v>
      </c>
      <c r="F10" s="9">
        <v>153</v>
      </c>
      <c r="G10" s="9">
        <v>163</v>
      </c>
      <c r="H10" s="9">
        <v>67</v>
      </c>
      <c r="I10" s="9">
        <v>47</v>
      </c>
      <c r="J10" s="9">
        <v>36</v>
      </c>
      <c r="K10" s="9">
        <v>28</v>
      </c>
      <c r="L10" s="9">
        <f>SUM(C10:K10)</f>
        <v>911</v>
      </c>
    </row>
    <row r="11" spans="1:23" x14ac:dyDescent="0.25">
      <c r="A11" s="15"/>
      <c r="B11" s="22" t="s">
        <v>29</v>
      </c>
      <c r="C11" s="10">
        <f>(C10/C$14)*100</f>
        <v>3.626473254759746</v>
      </c>
      <c r="D11" s="10">
        <f t="shared" ref="D11:L11" si="3">(D10/D$14)*100</f>
        <v>6.9080039853869151</v>
      </c>
      <c r="E11" s="10">
        <f t="shared" si="3"/>
        <v>7.5784753363228692</v>
      </c>
      <c r="F11" s="10">
        <f t="shared" si="3"/>
        <v>7.3100812231247012</v>
      </c>
      <c r="G11" s="10">
        <f t="shared" si="3"/>
        <v>8.2489878542510127</v>
      </c>
      <c r="H11" s="10">
        <f t="shared" si="3"/>
        <v>5.4649265905383357</v>
      </c>
      <c r="I11" s="10">
        <f t="shared" si="3"/>
        <v>4.2805100182149367</v>
      </c>
      <c r="J11" s="10">
        <f t="shared" si="3"/>
        <v>4.4226044226044223</v>
      </c>
      <c r="K11" s="10">
        <f t="shared" si="3"/>
        <v>4.3209876543209873</v>
      </c>
      <c r="L11" s="60">
        <f t="shared" si="3"/>
        <v>6.4159447848440037</v>
      </c>
    </row>
    <row r="12" spans="1:23" x14ac:dyDescent="0.25">
      <c r="A12" s="15" t="s">
        <v>70</v>
      </c>
      <c r="B12" s="22" t="s">
        <v>30</v>
      </c>
      <c r="C12" s="9">
        <v>351</v>
      </c>
      <c r="D12" s="9">
        <v>1372</v>
      </c>
      <c r="E12" s="9">
        <v>643</v>
      </c>
      <c r="F12" s="9">
        <v>408</v>
      </c>
      <c r="G12" s="9">
        <v>285</v>
      </c>
      <c r="H12" s="9">
        <v>143</v>
      </c>
      <c r="I12" s="9">
        <v>51</v>
      </c>
      <c r="J12" s="9">
        <v>31</v>
      </c>
      <c r="K12" s="9">
        <v>7</v>
      </c>
      <c r="L12" s="9">
        <f>SUM(C12:K12)</f>
        <v>3291</v>
      </c>
    </row>
    <row r="13" spans="1:23" x14ac:dyDescent="0.25">
      <c r="A13" s="15"/>
      <c r="B13" s="22" t="s">
        <v>29</v>
      </c>
      <c r="C13" s="10">
        <f>(C12/C$14)*100</f>
        <v>31.822302810516774</v>
      </c>
      <c r="D13" s="10">
        <f t="shared" ref="D13:L13" si="4">(D12/D$14)*100</f>
        <v>45.566257057455992</v>
      </c>
      <c r="E13" s="10">
        <f t="shared" si="4"/>
        <v>28.834080717488792</v>
      </c>
      <c r="F13" s="10">
        <f t="shared" si="4"/>
        <v>19.493549928332538</v>
      </c>
      <c r="G13" s="10">
        <f t="shared" si="4"/>
        <v>14.423076923076922</v>
      </c>
      <c r="H13" s="10">
        <f t="shared" si="4"/>
        <v>11.663947797716149</v>
      </c>
      <c r="I13" s="10">
        <f t="shared" si="4"/>
        <v>4.6448087431693992</v>
      </c>
      <c r="J13" s="10">
        <f t="shared" si="4"/>
        <v>3.8083538083538087</v>
      </c>
      <c r="K13" s="10">
        <f t="shared" si="4"/>
        <v>1.0802469135802468</v>
      </c>
      <c r="L13" s="60">
        <f t="shared" si="4"/>
        <v>23.17768856961758</v>
      </c>
    </row>
    <row r="14" spans="1:23" x14ac:dyDescent="0.25">
      <c r="A14" s="15" t="s">
        <v>90</v>
      </c>
      <c r="B14" s="22" t="s">
        <v>30</v>
      </c>
      <c r="C14" s="9">
        <v>1103</v>
      </c>
      <c r="D14" s="9">
        <v>3011</v>
      </c>
      <c r="E14" s="9">
        <v>2230</v>
      </c>
      <c r="F14" s="9">
        <v>2093</v>
      </c>
      <c r="G14" s="9">
        <v>1976</v>
      </c>
      <c r="H14" s="9">
        <v>1226</v>
      </c>
      <c r="I14" s="9">
        <v>1098</v>
      </c>
      <c r="J14" s="9">
        <v>814</v>
      </c>
      <c r="K14" s="9">
        <v>648</v>
      </c>
      <c r="L14" s="9">
        <f>SUM(C14:K14)</f>
        <v>14199</v>
      </c>
    </row>
    <row r="15" spans="1:23" x14ac:dyDescent="0.25">
      <c r="A15" s="15"/>
      <c r="B15" s="17" t="s">
        <v>29</v>
      </c>
      <c r="C15" s="8">
        <f>(C14/$L$14)*100</f>
        <v>7.7681526868089295</v>
      </c>
      <c r="D15" s="8">
        <f t="shared" ref="D15:L15" si="5">(D14/$L$14)*100</f>
        <v>21.205718712585394</v>
      </c>
      <c r="E15" s="8">
        <f t="shared" si="5"/>
        <v>15.705331361363475</v>
      </c>
      <c r="F15" s="8">
        <f t="shared" si="5"/>
        <v>14.740474681315586</v>
      </c>
      <c r="G15" s="8">
        <f t="shared" si="5"/>
        <v>13.916472991055709</v>
      </c>
      <c r="H15" s="8">
        <f t="shared" si="5"/>
        <v>8.6344108740052121</v>
      </c>
      <c r="I15" s="8">
        <f t="shared" si="5"/>
        <v>7.7329389393619277</v>
      </c>
      <c r="J15" s="8">
        <f t="shared" si="5"/>
        <v>5.7327980843721393</v>
      </c>
      <c r="K15" s="8">
        <f t="shared" si="5"/>
        <v>4.5637016691316292</v>
      </c>
      <c r="L15" s="8">
        <f t="shared" si="5"/>
        <v>100</v>
      </c>
    </row>
    <row r="16" spans="1:23" x14ac:dyDescent="0.25">
      <c r="A16" s="3" t="s">
        <v>7</v>
      </c>
    </row>
    <row r="17" spans="1:22" x14ac:dyDescent="0.25">
      <c r="A17" s="78" t="s">
        <v>77</v>
      </c>
      <c r="B17" s="79" t="s">
        <v>55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</row>
    <row r="18" spans="1:22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</row>
    <row r="19" spans="1:22" x14ac:dyDescent="0.25">
      <c r="A19" s="15"/>
      <c r="B19" s="7"/>
      <c r="C19" s="17" t="s">
        <v>14</v>
      </c>
      <c r="D19" s="17" t="s">
        <v>46</v>
      </c>
      <c r="E19" s="17" t="s">
        <v>50</v>
      </c>
      <c r="F19" s="17" t="s">
        <v>17</v>
      </c>
      <c r="G19" s="17" t="s">
        <v>47</v>
      </c>
      <c r="H19" s="17" t="s">
        <v>48</v>
      </c>
      <c r="I19" s="17" t="s">
        <v>49</v>
      </c>
      <c r="J19" s="17" t="s">
        <v>51</v>
      </c>
      <c r="K19" s="17" t="s">
        <v>66</v>
      </c>
      <c r="L19" s="57" t="s">
        <v>88</v>
      </c>
    </row>
    <row r="20" spans="1:22" x14ac:dyDescent="0.25">
      <c r="A20" s="15" t="s">
        <v>69</v>
      </c>
      <c r="B20" s="16" t="s">
        <v>30</v>
      </c>
      <c r="C20" s="15">
        <v>190</v>
      </c>
      <c r="D20" s="15">
        <v>941</v>
      </c>
      <c r="E20" s="15">
        <v>1475</v>
      </c>
      <c r="F20" s="15">
        <v>1727</v>
      </c>
      <c r="G20" s="15">
        <v>1604</v>
      </c>
      <c r="H20" s="15">
        <v>898</v>
      </c>
      <c r="I20" s="15">
        <v>475</v>
      </c>
      <c r="J20" s="15">
        <v>246</v>
      </c>
      <c r="K20" s="15">
        <v>124</v>
      </c>
      <c r="L20" s="15">
        <f>SUM(C20:K20)</f>
        <v>7680</v>
      </c>
      <c r="N20" s="61"/>
      <c r="O20" s="61"/>
      <c r="P20" s="61"/>
      <c r="Q20" s="61"/>
      <c r="R20" s="61"/>
      <c r="S20" s="61"/>
      <c r="T20" s="61"/>
      <c r="U20" s="61"/>
      <c r="V20" s="61"/>
    </row>
    <row r="21" spans="1:22" x14ac:dyDescent="0.25">
      <c r="A21" s="15"/>
      <c r="B21" s="22" t="s">
        <v>29</v>
      </c>
      <c r="C21" s="10">
        <f>(C20/C30)*100</f>
        <v>23.779724655819777</v>
      </c>
      <c r="D21" s="10">
        <f t="shared" ref="D21:K21" si="6">(D20/D30)*100</f>
        <v>33.475631447883316</v>
      </c>
      <c r="E21" s="10">
        <f t="shared" si="6"/>
        <v>60.950413223140501</v>
      </c>
      <c r="F21" s="10">
        <f t="shared" si="6"/>
        <v>70.633946830265842</v>
      </c>
      <c r="G21" s="10">
        <f t="shared" si="6"/>
        <v>69.982547993019196</v>
      </c>
      <c r="H21" s="10">
        <f t="shared" si="6"/>
        <v>61.046906866077499</v>
      </c>
      <c r="I21" s="10">
        <f t="shared" si="6"/>
        <v>47.263681592039802</v>
      </c>
      <c r="J21" s="10">
        <f t="shared" si="6"/>
        <v>32.241153342070774</v>
      </c>
      <c r="K21" s="10">
        <f t="shared" si="6"/>
        <v>21.453287197231834</v>
      </c>
      <c r="L21" s="60">
        <f t="shared" ref="L21" si="7">(L20/L30)*100</f>
        <v>52.660449808008778</v>
      </c>
      <c r="N21" s="61" t="s">
        <v>96</v>
      </c>
      <c r="O21" s="61"/>
      <c r="P21" s="61"/>
      <c r="Q21" s="61"/>
      <c r="R21" s="61"/>
      <c r="S21" s="61"/>
      <c r="T21" s="61"/>
      <c r="U21" s="61"/>
      <c r="V21" s="61"/>
    </row>
    <row r="22" spans="1:22" x14ac:dyDescent="0.25">
      <c r="A22" s="15" t="s">
        <v>89</v>
      </c>
      <c r="B22" s="22" t="s">
        <v>30</v>
      </c>
      <c r="C22" s="9">
        <v>177</v>
      </c>
      <c r="D22" s="9">
        <v>725</v>
      </c>
      <c r="E22" s="9">
        <v>850</v>
      </c>
      <c r="F22" s="9">
        <v>968</v>
      </c>
      <c r="G22" s="9">
        <v>1041</v>
      </c>
      <c r="H22" s="9">
        <v>640</v>
      </c>
      <c r="I22" s="9">
        <v>376</v>
      </c>
      <c r="J22" s="9">
        <v>238</v>
      </c>
      <c r="K22" s="9">
        <v>121</v>
      </c>
      <c r="L22" s="9">
        <f>SUM(C22:K22)</f>
        <v>5136</v>
      </c>
      <c r="N22" s="61" t="s">
        <v>97</v>
      </c>
      <c r="O22" s="61"/>
      <c r="P22" s="61"/>
      <c r="Q22" s="61"/>
      <c r="R22" s="61"/>
      <c r="S22" s="61"/>
      <c r="T22" s="61"/>
      <c r="U22" s="61"/>
      <c r="V22" s="61"/>
    </row>
    <row r="23" spans="1:22" x14ac:dyDescent="0.25">
      <c r="A23" s="15"/>
      <c r="B23" s="22" t="s">
        <v>29</v>
      </c>
      <c r="C23" s="10">
        <f>(C22/C$30)*100</f>
        <v>22.152690863579476</v>
      </c>
      <c r="D23" s="10">
        <f t="shared" ref="D23:L23" si="8">(D22/D$30)*100</f>
        <v>25.791533262184274</v>
      </c>
      <c r="E23" s="10">
        <f t="shared" si="8"/>
        <v>35.123966942148762</v>
      </c>
      <c r="F23" s="10">
        <f t="shared" si="8"/>
        <v>39.591002044989779</v>
      </c>
      <c r="G23" s="10">
        <f t="shared" si="8"/>
        <v>45.418848167539267</v>
      </c>
      <c r="H23" s="10">
        <f t="shared" si="8"/>
        <v>43.507817811012913</v>
      </c>
      <c r="I23" s="10">
        <f t="shared" si="8"/>
        <v>37.412935323383081</v>
      </c>
      <c r="J23" s="10">
        <f t="shared" si="8"/>
        <v>31.192660550458719</v>
      </c>
      <c r="K23" s="10">
        <f t="shared" si="8"/>
        <v>20.934256055363321</v>
      </c>
      <c r="L23" s="10">
        <f t="shared" si="8"/>
        <v>35.216675809105865</v>
      </c>
      <c r="N23" s="61"/>
      <c r="O23" s="61"/>
      <c r="P23" s="61"/>
      <c r="Q23" s="61"/>
      <c r="R23" s="61"/>
      <c r="S23" s="61"/>
      <c r="T23" s="61"/>
      <c r="U23" s="61"/>
      <c r="V23" s="61"/>
    </row>
    <row r="24" spans="1:22" x14ac:dyDescent="0.25">
      <c r="A24" s="15" t="s">
        <v>86</v>
      </c>
      <c r="B24" s="22" t="s">
        <v>30</v>
      </c>
      <c r="C24" s="9">
        <v>261</v>
      </c>
      <c r="D24" s="9">
        <v>407</v>
      </c>
      <c r="E24" s="9">
        <v>104</v>
      </c>
      <c r="F24" s="9">
        <v>78</v>
      </c>
      <c r="G24" s="9">
        <v>138</v>
      </c>
      <c r="H24" s="9">
        <v>216</v>
      </c>
      <c r="I24" s="9">
        <v>369</v>
      </c>
      <c r="J24" s="9">
        <v>433</v>
      </c>
      <c r="K24" s="9">
        <v>428</v>
      </c>
      <c r="L24" s="9">
        <f>SUM(C24:K24)</f>
        <v>2434</v>
      </c>
    </row>
    <row r="25" spans="1:22" x14ac:dyDescent="0.25">
      <c r="A25" s="15"/>
      <c r="B25" s="22" t="s">
        <v>29</v>
      </c>
      <c r="C25" s="10">
        <f>(C24/C$30)*100</f>
        <v>32.665832290362957</v>
      </c>
      <c r="D25" s="10">
        <f t="shared" ref="D25:L25" si="9">(D24/D$30)*100</f>
        <v>14.478833155460691</v>
      </c>
      <c r="E25" s="10">
        <f t="shared" si="9"/>
        <v>4.2975206611570247</v>
      </c>
      <c r="F25" s="10">
        <f t="shared" si="9"/>
        <v>3.1901840490797548</v>
      </c>
      <c r="G25" s="10">
        <f t="shared" si="9"/>
        <v>6.0209424083769632</v>
      </c>
      <c r="H25" s="10">
        <f t="shared" si="9"/>
        <v>14.683888511216859</v>
      </c>
      <c r="I25" s="10">
        <f t="shared" si="9"/>
        <v>36.71641791044776</v>
      </c>
      <c r="J25" s="10">
        <f t="shared" si="9"/>
        <v>56.749672346002619</v>
      </c>
      <c r="K25" s="10">
        <f t="shared" si="9"/>
        <v>74.048442906574394</v>
      </c>
      <c r="L25" s="10">
        <f t="shared" si="9"/>
        <v>16.689522764673615</v>
      </c>
    </row>
    <row r="26" spans="1:22" x14ac:dyDescent="0.25">
      <c r="A26" s="15" t="s">
        <v>67</v>
      </c>
      <c r="B26" s="22" t="s">
        <v>30</v>
      </c>
      <c r="C26" s="9">
        <v>38</v>
      </c>
      <c r="D26" s="9">
        <v>172</v>
      </c>
      <c r="E26" s="9">
        <v>152</v>
      </c>
      <c r="F26" s="9">
        <v>177</v>
      </c>
      <c r="G26" s="9">
        <v>160</v>
      </c>
      <c r="H26" s="9">
        <v>95</v>
      </c>
      <c r="I26" s="9">
        <v>43</v>
      </c>
      <c r="J26" s="9">
        <v>35</v>
      </c>
      <c r="K26" s="9">
        <v>25</v>
      </c>
      <c r="L26" s="9">
        <f>SUM(C26:K26)</f>
        <v>897</v>
      </c>
    </row>
    <row r="27" spans="1:22" x14ac:dyDescent="0.25">
      <c r="A27" s="15"/>
      <c r="B27" s="22" t="s">
        <v>29</v>
      </c>
      <c r="C27" s="10">
        <f>(C26/C$30)*100</f>
        <v>4.7559449311639552</v>
      </c>
      <c r="D27" s="10">
        <f t="shared" ref="D27:L27" si="10">(D26/D$30)*100</f>
        <v>6.1188189256492356</v>
      </c>
      <c r="E27" s="10">
        <f t="shared" si="10"/>
        <v>6.2809917355371905</v>
      </c>
      <c r="F27" s="10">
        <f t="shared" si="10"/>
        <v>7.2392638036809815</v>
      </c>
      <c r="G27" s="10">
        <f t="shared" si="10"/>
        <v>6.9808027923211169</v>
      </c>
      <c r="H27" s="10">
        <f t="shared" si="10"/>
        <v>6.4581917063222294</v>
      </c>
      <c r="I27" s="10">
        <f t="shared" si="10"/>
        <v>4.2786069651741299</v>
      </c>
      <c r="J27" s="10">
        <f t="shared" si="10"/>
        <v>4.5871559633027523</v>
      </c>
      <c r="K27" s="10">
        <f t="shared" si="10"/>
        <v>4.3252595155709344</v>
      </c>
      <c r="L27" s="10">
        <f t="shared" si="10"/>
        <v>6.1505759736697749</v>
      </c>
    </row>
    <row r="28" spans="1:22" x14ac:dyDescent="0.25">
      <c r="A28" s="15" t="s">
        <v>70</v>
      </c>
      <c r="B28" s="22" t="s">
        <v>30</v>
      </c>
      <c r="C28" s="9">
        <v>369</v>
      </c>
      <c r="D28" s="9">
        <v>1565</v>
      </c>
      <c r="E28" s="9">
        <v>844</v>
      </c>
      <c r="F28" s="9">
        <v>551</v>
      </c>
      <c r="G28" s="9">
        <v>405</v>
      </c>
      <c r="H28" s="9">
        <v>203</v>
      </c>
      <c r="I28" s="9">
        <v>87</v>
      </c>
      <c r="J28" s="9">
        <v>25</v>
      </c>
      <c r="K28" s="9">
        <v>13</v>
      </c>
      <c r="L28" s="9">
        <f>SUM(C28:K28)</f>
        <v>4062</v>
      </c>
    </row>
    <row r="29" spans="1:22" x14ac:dyDescent="0.25">
      <c r="A29" s="15"/>
      <c r="B29" s="22" t="s">
        <v>29</v>
      </c>
      <c r="C29" s="10">
        <f>(C28/C$30)*100</f>
        <v>46.182728410513143</v>
      </c>
      <c r="D29" s="10">
        <f t="shared" ref="D29:L29" si="11">(D28/D$30)*100</f>
        <v>55.67413731768054</v>
      </c>
      <c r="E29" s="10">
        <f t="shared" si="11"/>
        <v>34.876033057851238</v>
      </c>
      <c r="F29" s="10">
        <f t="shared" si="11"/>
        <v>22.535787321063395</v>
      </c>
      <c r="G29" s="10">
        <f t="shared" si="11"/>
        <v>17.670157068062828</v>
      </c>
      <c r="H29" s="10">
        <f t="shared" si="11"/>
        <v>13.80013596193066</v>
      </c>
      <c r="I29" s="10">
        <f t="shared" si="11"/>
        <v>8.6567164179104488</v>
      </c>
      <c r="J29" s="10">
        <f t="shared" si="11"/>
        <v>3.2765399737876804</v>
      </c>
      <c r="K29" s="10">
        <f t="shared" si="11"/>
        <v>2.2491349480968861</v>
      </c>
      <c r="L29" s="10">
        <f t="shared" si="11"/>
        <v>27.852441031267144</v>
      </c>
    </row>
    <row r="30" spans="1:22" x14ac:dyDescent="0.25">
      <c r="A30" s="15" t="s">
        <v>90</v>
      </c>
      <c r="B30" s="22" t="s">
        <v>30</v>
      </c>
      <c r="C30" s="9">
        <v>799</v>
      </c>
      <c r="D30" s="9">
        <v>2811</v>
      </c>
      <c r="E30" s="9">
        <v>2420</v>
      </c>
      <c r="F30" s="9">
        <v>2445</v>
      </c>
      <c r="G30" s="9">
        <v>2292</v>
      </c>
      <c r="H30" s="9">
        <v>1471</v>
      </c>
      <c r="I30" s="9">
        <v>1005</v>
      </c>
      <c r="J30" s="9">
        <v>763</v>
      </c>
      <c r="K30" s="9">
        <v>578</v>
      </c>
      <c r="L30" s="9">
        <f>SUM(C30:K30)</f>
        <v>14584</v>
      </c>
    </row>
    <row r="31" spans="1:22" x14ac:dyDescent="0.25">
      <c r="A31" s="15"/>
      <c r="B31" s="17" t="s">
        <v>29</v>
      </c>
      <c r="C31" s="8">
        <f>(C30/$L$30)*100</f>
        <v>5.4786066922654966</v>
      </c>
      <c r="D31" s="8">
        <f t="shared" ref="D31:L31" si="12">(D30/$L$30)*100</f>
        <v>19.274547449259462</v>
      </c>
      <c r="E31" s="8">
        <f t="shared" si="12"/>
        <v>16.593527153044434</v>
      </c>
      <c r="F31" s="8">
        <f t="shared" si="12"/>
        <v>16.764947888096543</v>
      </c>
      <c r="G31" s="8">
        <f t="shared" si="12"/>
        <v>15.71585298957762</v>
      </c>
      <c r="H31" s="8">
        <f t="shared" si="12"/>
        <v>10.086396050466265</v>
      </c>
      <c r="I31" s="8">
        <f t="shared" si="12"/>
        <v>6.8911135490948991</v>
      </c>
      <c r="J31" s="8">
        <f t="shared" si="12"/>
        <v>5.2317608337904549</v>
      </c>
      <c r="K31" s="8">
        <f t="shared" si="12"/>
        <v>3.963247394404827</v>
      </c>
      <c r="L31" s="8">
        <f t="shared" si="12"/>
        <v>100</v>
      </c>
    </row>
    <row r="32" spans="1:22" x14ac:dyDescent="0.25">
      <c r="A32" s="3" t="s">
        <v>6</v>
      </c>
    </row>
    <row r="33" spans="1:15" x14ac:dyDescent="0.25">
      <c r="A33" s="78" t="s">
        <v>77</v>
      </c>
      <c r="B33" s="79" t="s">
        <v>56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</row>
    <row r="34" spans="1:15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</row>
    <row r="35" spans="1:15" x14ac:dyDescent="0.25">
      <c r="A35" s="15"/>
      <c r="B35" s="7"/>
      <c r="C35" s="17" t="s">
        <v>14</v>
      </c>
      <c r="D35" s="17" t="s">
        <v>46</v>
      </c>
      <c r="E35" s="17" t="s">
        <v>50</v>
      </c>
      <c r="F35" s="17" t="s">
        <v>17</v>
      </c>
      <c r="G35" s="17" t="s">
        <v>47</v>
      </c>
      <c r="H35" s="17" t="s">
        <v>48</v>
      </c>
      <c r="I35" s="17" t="s">
        <v>49</v>
      </c>
      <c r="J35" s="17" t="s">
        <v>51</v>
      </c>
      <c r="K35" s="17" t="s">
        <v>66</v>
      </c>
      <c r="L35" s="57" t="s">
        <v>88</v>
      </c>
    </row>
    <row r="36" spans="1:15" x14ac:dyDescent="0.25">
      <c r="A36" s="15" t="s">
        <v>69</v>
      </c>
      <c r="B36" s="16" t="s">
        <v>30</v>
      </c>
      <c r="C36" s="15">
        <v>272</v>
      </c>
      <c r="D36" s="15">
        <v>678</v>
      </c>
      <c r="E36" s="15">
        <v>608</v>
      </c>
      <c r="F36" s="15">
        <v>544</v>
      </c>
      <c r="G36" s="15">
        <v>477</v>
      </c>
      <c r="H36" s="15">
        <v>320</v>
      </c>
      <c r="I36" s="15">
        <v>265</v>
      </c>
      <c r="J36" s="15">
        <v>133</v>
      </c>
      <c r="K36" s="15">
        <v>57</v>
      </c>
      <c r="L36" s="15">
        <v>3354</v>
      </c>
    </row>
    <row r="37" spans="1:15" x14ac:dyDescent="0.25">
      <c r="A37" s="15"/>
      <c r="B37" s="22" t="s">
        <v>29</v>
      </c>
      <c r="C37" s="10">
        <f>(C36/C46)*100</f>
        <v>33.538840937114671</v>
      </c>
      <c r="D37" s="10">
        <f t="shared" ref="D37:L37" si="13">(D36/D46)*100</f>
        <v>48.706896551724135</v>
      </c>
      <c r="E37" s="10">
        <f t="shared" si="13"/>
        <v>72.467222884386175</v>
      </c>
      <c r="F37" s="10">
        <f t="shared" si="13"/>
        <v>78.499278499278503</v>
      </c>
      <c r="G37" s="10">
        <f t="shared" si="13"/>
        <v>75.955414012738856</v>
      </c>
      <c r="H37" s="10">
        <f t="shared" si="13"/>
        <v>60.952380952380956</v>
      </c>
      <c r="I37" s="10">
        <f t="shared" si="13"/>
        <v>43.874172185430467</v>
      </c>
      <c r="J37" s="10">
        <f t="shared" si="13"/>
        <v>27.032520325203251</v>
      </c>
      <c r="K37" s="10">
        <f t="shared" si="13"/>
        <v>18.387096774193548</v>
      </c>
      <c r="L37" s="60">
        <f t="shared" si="13"/>
        <v>53.288846520495717</v>
      </c>
    </row>
    <row r="38" spans="1:15" x14ac:dyDescent="0.25">
      <c r="A38" s="15" t="s">
        <v>89</v>
      </c>
      <c r="B38" s="22" t="s">
        <v>30</v>
      </c>
      <c r="C38" s="9">
        <v>136</v>
      </c>
      <c r="D38" s="9">
        <v>355</v>
      </c>
      <c r="E38" s="9">
        <v>161</v>
      </c>
      <c r="F38" s="9">
        <v>119</v>
      </c>
      <c r="G38" s="9">
        <v>124</v>
      </c>
      <c r="H38" s="9">
        <v>129</v>
      </c>
      <c r="I38" s="9">
        <v>136</v>
      </c>
      <c r="J38" s="9">
        <v>120</v>
      </c>
      <c r="K38" s="9">
        <v>73</v>
      </c>
      <c r="L38" s="9">
        <v>1353</v>
      </c>
    </row>
    <row r="39" spans="1:15" x14ac:dyDescent="0.25">
      <c r="A39" s="15"/>
      <c r="B39" s="22" t="s">
        <v>29</v>
      </c>
      <c r="C39" s="10">
        <f>(C38/C$46)*100</f>
        <v>16.769420468557335</v>
      </c>
      <c r="D39" s="10">
        <f t="shared" ref="D39:K39" si="14">(D38/D$46)*100</f>
        <v>25.502873563218394</v>
      </c>
      <c r="E39" s="10">
        <f t="shared" si="14"/>
        <v>19.189511323003575</v>
      </c>
      <c r="F39" s="10">
        <f t="shared" si="14"/>
        <v>17.171717171717169</v>
      </c>
      <c r="G39" s="10">
        <f t="shared" si="14"/>
        <v>19.745222929936308</v>
      </c>
      <c r="H39" s="10">
        <f t="shared" si="14"/>
        <v>24.571428571428573</v>
      </c>
      <c r="I39" s="10">
        <f t="shared" si="14"/>
        <v>22.516556291390728</v>
      </c>
      <c r="J39" s="10">
        <f t="shared" si="14"/>
        <v>24.390243902439025</v>
      </c>
      <c r="K39" s="10">
        <f t="shared" si="14"/>
        <v>23.548387096774192</v>
      </c>
      <c r="L39" s="60">
        <f>(L38/L$46)*100</f>
        <v>21.496663489037179</v>
      </c>
    </row>
    <row r="40" spans="1:15" x14ac:dyDescent="0.25">
      <c r="A40" s="15" t="s">
        <v>86</v>
      </c>
      <c r="B40" s="22" t="s">
        <v>30</v>
      </c>
      <c r="C40" s="9">
        <v>380</v>
      </c>
      <c r="D40" s="9">
        <v>374</v>
      </c>
      <c r="E40" s="9">
        <v>89</v>
      </c>
      <c r="F40" s="9">
        <v>70</v>
      </c>
      <c r="G40" s="9">
        <v>89</v>
      </c>
      <c r="H40" s="9">
        <v>180</v>
      </c>
      <c r="I40" s="9">
        <v>311</v>
      </c>
      <c r="J40" s="9">
        <v>326</v>
      </c>
      <c r="K40" s="9">
        <v>236</v>
      </c>
      <c r="L40" s="9">
        <v>2055</v>
      </c>
    </row>
    <row r="41" spans="1:15" x14ac:dyDescent="0.25">
      <c r="A41" s="15"/>
      <c r="B41" s="22" t="s">
        <v>29</v>
      </c>
      <c r="C41" s="10">
        <f>(C40/C$46)*100</f>
        <v>46.855733662145497</v>
      </c>
      <c r="D41" s="10">
        <f t="shared" ref="D41:L41" si="15">(D40/D$46)*100</f>
        <v>26.867816091954023</v>
      </c>
      <c r="E41" s="10">
        <f t="shared" si="15"/>
        <v>10.607866507747318</v>
      </c>
      <c r="F41" s="10">
        <f t="shared" si="15"/>
        <v>10.1010101010101</v>
      </c>
      <c r="G41" s="10">
        <f t="shared" si="15"/>
        <v>14.171974522292993</v>
      </c>
      <c r="H41" s="10">
        <f t="shared" si="15"/>
        <v>34.285714285714285</v>
      </c>
      <c r="I41" s="10">
        <f t="shared" si="15"/>
        <v>51.490066225165563</v>
      </c>
      <c r="J41" s="10">
        <f t="shared" si="15"/>
        <v>66.260162601626021</v>
      </c>
      <c r="K41" s="10">
        <f t="shared" si="15"/>
        <v>76.129032258064512</v>
      </c>
      <c r="L41" s="10">
        <f t="shared" si="15"/>
        <v>32.65014299332698</v>
      </c>
    </row>
    <row r="42" spans="1:15" x14ac:dyDescent="0.25">
      <c r="A42" s="15" t="s">
        <v>67</v>
      </c>
      <c r="B42" s="22" t="s">
        <v>30</v>
      </c>
      <c r="C42" s="9">
        <v>40</v>
      </c>
      <c r="D42" s="9">
        <v>99</v>
      </c>
      <c r="E42" s="9">
        <v>81</v>
      </c>
      <c r="F42" s="9">
        <v>48</v>
      </c>
      <c r="G42" s="9">
        <v>53</v>
      </c>
      <c r="H42" s="9">
        <v>32</v>
      </c>
      <c r="I42" s="9">
        <v>26</v>
      </c>
      <c r="J42" s="9">
        <v>31</v>
      </c>
      <c r="K42" s="9">
        <v>15</v>
      </c>
      <c r="L42" s="9">
        <v>425</v>
      </c>
      <c r="N42" s="61"/>
      <c r="O42" s="61"/>
    </row>
    <row r="43" spans="1:15" x14ac:dyDescent="0.25">
      <c r="A43" s="15"/>
      <c r="B43" s="22" t="s">
        <v>29</v>
      </c>
      <c r="C43" s="10">
        <f>(C42/C$46)*100</f>
        <v>4.9321824907521581</v>
      </c>
      <c r="D43" s="10">
        <f t="shared" ref="D43:L43" si="16">(D42/D$46)*100</f>
        <v>7.112068965517242</v>
      </c>
      <c r="E43" s="10">
        <f t="shared" si="16"/>
        <v>9.6543504171632897</v>
      </c>
      <c r="F43" s="10">
        <f t="shared" si="16"/>
        <v>6.9264069264069263</v>
      </c>
      <c r="G43" s="10">
        <f t="shared" si="16"/>
        <v>8.4394904458598727</v>
      </c>
      <c r="H43" s="10">
        <f t="shared" si="16"/>
        <v>6.0952380952380949</v>
      </c>
      <c r="I43" s="10">
        <f t="shared" si="16"/>
        <v>4.3046357615894042</v>
      </c>
      <c r="J43" s="10">
        <f t="shared" si="16"/>
        <v>6.3008130081300813</v>
      </c>
      <c r="K43" s="10">
        <f t="shared" si="16"/>
        <v>4.838709677419355</v>
      </c>
      <c r="L43" s="10">
        <f t="shared" si="16"/>
        <v>6.752462662853512</v>
      </c>
      <c r="N43" s="61"/>
      <c r="O43" s="61"/>
    </row>
    <row r="44" spans="1:15" x14ac:dyDescent="0.25">
      <c r="A44" s="15" t="s">
        <v>70</v>
      </c>
      <c r="B44" s="22" t="s">
        <v>30</v>
      </c>
      <c r="C44" s="9">
        <v>157</v>
      </c>
      <c r="D44" s="9">
        <v>283</v>
      </c>
      <c r="E44" s="9">
        <v>82</v>
      </c>
      <c r="F44" s="9">
        <v>44</v>
      </c>
      <c r="G44" s="9">
        <v>34</v>
      </c>
      <c r="H44" s="9">
        <v>7</v>
      </c>
      <c r="I44" s="9">
        <v>4</v>
      </c>
      <c r="J44" s="9">
        <v>5</v>
      </c>
      <c r="K44" s="9">
        <v>0</v>
      </c>
      <c r="L44" s="9">
        <v>616</v>
      </c>
      <c r="N44" s="61"/>
      <c r="O44" s="61"/>
    </row>
    <row r="45" spans="1:15" x14ac:dyDescent="0.25">
      <c r="A45" s="15"/>
      <c r="B45" s="22" t="s">
        <v>29</v>
      </c>
      <c r="C45" s="10">
        <f>(C44/C$46)*100</f>
        <v>19.358816276202219</v>
      </c>
      <c r="D45" s="10">
        <f t="shared" ref="D45:L45" si="17">(D44/D$46)*100</f>
        <v>20.330459770114942</v>
      </c>
      <c r="E45" s="10">
        <f t="shared" si="17"/>
        <v>9.7735399284862918</v>
      </c>
      <c r="F45" s="10">
        <f t="shared" si="17"/>
        <v>6.3492063492063489</v>
      </c>
      <c r="G45" s="10">
        <f t="shared" si="17"/>
        <v>5.4140127388535033</v>
      </c>
      <c r="H45" s="10">
        <f t="shared" si="17"/>
        <v>1.3333333333333335</v>
      </c>
      <c r="I45" s="10">
        <f t="shared" si="17"/>
        <v>0.66225165562913912</v>
      </c>
      <c r="J45" s="10">
        <f t="shared" si="17"/>
        <v>1.0162601626016259</v>
      </c>
      <c r="K45" s="10">
        <f t="shared" si="17"/>
        <v>0</v>
      </c>
      <c r="L45" s="10">
        <f t="shared" si="17"/>
        <v>9.7870988242770895</v>
      </c>
      <c r="N45" s="61"/>
      <c r="O45" s="61"/>
    </row>
    <row r="46" spans="1:15" x14ac:dyDescent="0.25">
      <c r="A46" s="15" t="s">
        <v>90</v>
      </c>
      <c r="B46" s="22" t="s">
        <v>30</v>
      </c>
      <c r="C46" s="9">
        <v>811</v>
      </c>
      <c r="D46" s="9">
        <v>1392</v>
      </c>
      <c r="E46" s="9">
        <v>839</v>
      </c>
      <c r="F46" s="9">
        <v>693</v>
      </c>
      <c r="G46" s="9">
        <v>628</v>
      </c>
      <c r="H46" s="9">
        <v>525</v>
      </c>
      <c r="I46" s="9">
        <v>604</v>
      </c>
      <c r="J46" s="9">
        <v>492</v>
      </c>
      <c r="K46" s="9">
        <v>310</v>
      </c>
      <c r="L46" s="9">
        <v>6294</v>
      </c>
    </row>
    <row r="47" spans="1:15" x14ac:dyDescent="0.25">
      <c r="A47" s="15"/>
      <c r="B47" s="17" t="s">
        <v>29</v>
      </c>
      <c r="C47" s="8">
        <f>(C46/$L$46)*100</f>
        <v>12.885287575468702</v>
      </c>
      <c r="D47" s="8">
        <f t="shared" ref="D47:L47" si="18">(D46/$L$46)*100</f>
        <v>22.116301239275501</v>
      </c>
      <c r="E47" s="8">
        <f t="shared" si="18"/>
        <v>13.330155703844932</v>
      </c>
      <c r="F47" s="8">
        <f t="shared" si="18"/>
        <v>11.010486177311725</v>
      </c>
      <c r="G47" s="8">
        <f t="shared" si="18"/>
        <v>9.9777565935811889</v>
      </c>
      <c r="H47" s="8">
        <f t="shared" si="18"/>
        <v>8.3412774070543367</v>
      </c>
      <c r="I47" s="8">
        <f t="shared" si="18"/>
        <v>9.5964410549729902</v>
      </c>
      <c r="J47" s="8">
        <f t="shared" si="18"/>
        <v>7.8169685414680652</v>
      </c>
      <c r="K47" s="8">
        <f t="shared" si="18"/>
        <v>4.9253257070225613</v>
      </c>
      <c r="L47" s="8">
        <f t="shared" si="18"/>
        <v>100</v>
      </c>
    </row>
  </sheetData>
  <mergeCells count="8">
    <mergeCell ref="A33:A34"/>
    <mergeCell ref="B33:L34"/>
    <mergeCell ref="A1:A2"/>
    <mergeCell ref="B1:L2"/>
    <mergeCell ref="O2:R4"/>
    <mergeCell ref="O6:R8"/>
    <mergeCell ref="A17:A18"/>
    <mergeCell ref="B17:L18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L5:L13 L21:L30" formula="1"/>
  </ignoredError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181B-BC0F-4EA2-B947-DA1B863B27D8}">
  <dimension ref="A1:B7"/>
  <sheetViews>
    <sheetView zoomScale="70" zoomScaleNormal="70" workbookViewId="0">
      <selection activeCell="H15" sqref="H15"/>
    </sheetView>
  </sheetViews>
  <sheetFormatPr defaultRowHeight="15" x14ac:dyDescent="0.25"/>
  <cols>
    <col min="1" max="1" width="24.140625" style="15" customWidth="1"/>
    <col min="2" max="2" width="81.5703125" style="15" bestFit="1" customWidth="1"/>
    <col min="3" max="16384" width="9.140625" style="15"/>
  </cols>
  <sheetData>
    <row r="1" spans="1:2" x14ac:dyDescent="0.25">
      <c r="A1" s="4" t="s">
        <v>104</v>
      </c>
    </row>
    <row r="2" spans="1:2" x14ac:dyDescent="0.25">
      <c r="A2" s="69" t="s">
        <v>105</v>
      </c>
      <c r="B2" s="69" t="s">
        <v>106</v>
      </c>
    </row>
    <row r="3" spans="1:2" ht="75" x14ac:dyDescent="0.25">
      <c r="A3" s="70" t="s">
        <v>8</v>
      </c>
      <c r="B3" s="71" t="s">
        <v>111</v>
      </c>
    </row>
    <row r="4" spans="1:2" ht="75" x14ac:dyDescent="0.25">
      <c r="A4" s="72" t="s">
        <v>107</v>
      </c>
      <c r="B4" s="73" t="s">
        <v>112</v>
      </c>
    </row>
    <row r="5" spans="1:2" ht="256.5" customHeight="1" x14ac:dyDescent="0.25">
      <c r="A5" s="72" t="s">
        <v>108</v>
      </c>
      <c r="B5" s="73" t="s">
        <v>113</v>
      </c>
    </row>
    <row r="6" spans="1:2" ht="75" x14ac:dyDescent="0.25">
      <c r="A6" s="72" t="s">
        <v>109</v>
      </c>
      <c r="B6" s="73" t="s">
        <v>114</v>
      </c>
    </row>
    <row r="7" spans="1:2" ht="75" x14ac:dyDescent="0.25">
      <c r="A7" s="74" t="s">
        <v>110</v>
      </c>
      <c r="B7" s="75" t="s">
        <v>115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57"/>
  <sheetViews>
    <sheetView zoomScale="85" zoomScaleNormal="85" workbookViewId="0">
      <selection activeCell="C17" sqref="C17"/>
    </sheetView>
  </sheetViews>
  <sheetFormatPr defaultRowHeight="15" x14ac:dyDescent="0.25"/>
  <cols>
    <col min="1" max="1" width="11.42578125" bestFit="1" customWidth="1"/>
    <col min="11" max="11" width="10.28515625" bestFit="1" customWidth="1"/>
  </cols>
  <sheetData>
    <row r="1" spans="1:28" ht="15" customHeight="1" x14ac:dyDescent="0.25">
      <c r="A1" s="78" t="s">
        <v>77</v>
      </c>
      <c r="B1" s="79" t="s">
        <v>54</v>
      </c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28" x14ac:dyDescent="0.25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N2" s="29" t="s">
        <v>63</v>
      </c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x14ac:dyDescent="0.25">
      <c r="A3" s="78"/>
      <c r="B3" s="7"/>
      <c r="C3" s="7" t="s">
        <v>14</v>
      </c>
      <c r="D3" s="7" t="s">
        <v>46</v>
      </c>
      <c r="E3" s="7" t="s">
        <v>50</v>
      </c>
      <c r="F3" s="7" t="s">
        <v>17</v>
      </c>
      <c r="G3" s="7" t="s">
        <v>47</v>
      </c>
      <c r="H3" s="7" t="s">
        <v>48</v>
      </c>
      <c r="I3" s="7" t="s">
        <v>49</v>
      </c>
      <c r="J3" s="7" t="s">
        <v>51</v>
      </c>
      <c r="K3" s="7" t="s">
        <v>52</v>
      </c>
      <c r="L3" s="24" t="s">
        <v>0</v>
      </c>
    </row>
    <row r="4" spans="1:28" ht="15" customHeight="1" x14ac:dyDescent="0.25">
      <c r="A4" s="15" t="s">
        <v>27</v>
      </c>
      <c r="B4" s="16" t="s">
        <v>30</v>
      </c>
      <c r="C4" s="15">
        <v>111</v>
      </c>
      <c r="D4" s="15">
        <v>306</v>
      </c>
      <c r="E4" s="15">
        <v>256</v>
      </c>
      <c r="F4" s="15">
        <v>254</v>
      </c>
      <c r="G4" s="15">
        <v>234</v>
      </c>
      <c r="H4" s="15">
        <v>176</v>
      </c>
      <c r="I4" s="15">
        <v>140</v>
      </c>
      <c r="J4" s="15">
        <v>129</v>
      </c>
      <c r="K4" s="15">
        <v>123</v>
      </c>
      <c r="L4" s="15">
        <v>1729</v>
      </c>
      <c r="N4" s="77" t="s">
        <v>84</v>
      </c>
      <c r="O4" s="77"/>
      <c r="P4" s="77"/>
      <c r="Q4" s="77"/>
      <c r="R4" s="77"/>
    </row>
    <row r="5" spans="1:28" ht="15" customHeight="1" x14ac:dyDescent="0.25">
      <c r="A5" s="15"/>
      <c r="B5" s="22" t="s">
        <v>29</v>
      </c>
      <c r="C5" s="10">
        <v>6.42</v>
      </c>
      <c r="D5" s="10">
        <v>17.7</v>
      </c>
      <c r="E5" s="10">
        <v>14.81</v>
      </c>
      <c r="F5" s="10">
        <v>14.69</v>
      </c>
      <c r="G5" s="10">
        <v>13.53</v>
      </c>
      <c r="H5" s="10">
        <v>10.18</v>
      </c>
      <c r="I5" s="10">
        <v>8.1</v>
      </c>
      <c r="J5" s="10">
        <v>7.46</v>
      </c>
      <c r="K5" s="10">
        <v>7.11</v>
      </c>
      <c r="L5" s="9">
        <v>100</v>
      </c>
      <c r="N5" s="77"/>
      <c r="O5" s="77"/>
      <c r="P5" s="77"/>
      <c r="Q5" s="77"/>
      <c r="R5" s="77"/>
    </row>
    <row r="6" spans="1:28" ht="15" customHeight="1" x14ac:dyDescent="0.25">
      <c r="A6" s="15" t="s">
        <v>57</v>
      </c>
      <c r="B6" s="22" t="s">
        <v>30</v>
      </c>
      <c r="C6" s="9">
        <v>193</v>
      </c>
      <c r="D6" s="9">
        <v>139</v>
      </c>
      <c r="E6" s="9">
        <v>44</v>
      </c>
      <c r="F6" s="9">
        <v>41</v>
      </c>
      <c r="G6" s="9">
        <v>53</v>
      </c>
      <c r="H6" s="9">
        <v>86</v>
      </c>
      <c r="I6" s="9">
        <v>182</v>
      </c>
      <c r="J6" s="9">
        <v>199</v>
      </c>
      <c r="K6" s="9">
        <v>197</v>
      </c>
      <c r="L6" s="9">
        <v>1134</v>
      </c>
      <c r="N6" s="77"/>
      <c r="O6" s="77"/>
      <c r="P6" s="77"/>
      <c r="Q6" s="77"/>
      <c r="R6" s="77"/>
    </row>
    <row r="7" spans="1:28" x14ac:dyDescent="0.25">
      <c r="A7" s="15"/>
      <c r="B7" s="22" t="s">
        <v>29</v>
      </c>
      <c r="C7" s="10">
        <v>17.02</v>
      </c>
      <c r="D7" s="10">
        <v>12.26</v>
      </c>
      <c r="E7" s="10">
        <v>3.88</v>
      </c>
      <c r="F7" s="10">
        <v>3.62</v>
      </c>
      <c r="G7" s="10">
        <v>4.67</v>
      </c>
      <c r="H7" s="10">
        <v>7.58</v>
      </c>
      <c r="I7" s="10">
        <v>16.05</v>
      </c>
      <c r="J7" s="10">
        <v>17.55</v>
      </c>
      <c r="K7" s="10">
        <v>17.37</v>
      </c>
      <c r="L7" s="9">
        <v>100</v>
      </c>
    </row>
    <row r="8" spans="1:28" x14ac:dyDescent="0.25">
      <c r="A8" s="15" t="s">
        <v>40</v>
      </c>
      <c r="B8" s="22" t="s">
        <v>30</v>
      </c>
      <c r="C8" s="9">
        <v>3</v>
      </c>
      <c r="D8" s="9">
        <v>27</v>
      </c>
      <c r="E8" s="9">
        <v>14</v>
      </c>
      <c r="F8" s="9">
        <v>16</v>
      </c>
      <c r="G8" s="9">
        <v>14</v>
      </c>
      <c r="H8" s="9">
        <v>10</v>
      </c>
      <c r="I8" s="9">
        <v>6</v>
      </c>
      <c r="J8" s="9">
        <v>8</v>
      </c>
      <c r="K8" s="9">
        <v>3</v>
      </c>
      <c r="L8" s="9">
        <v>101</v>
      </c>
    </row>
    <row r="9" spans="1:28" x14ac:dyDescent="0.25">
      <c r="A9" s="15"/>
      <c r="B9" s="22" t="s">
        <v>29</v>
      </c>
      <c r="C9" s="10">
        <v>2.97</v>
      </c>
      <c r="D9" s="10">
        <v>26.73</v>
      </c>
      <c r="E9" s="10">
        <v>13.86</v>
      </c>
      <c r="F9" s="10">
        <v>15.84</v>
      </c>
      <c r="G9" s="10">
        <v>13.86</v>
      </c>
      <c r="H9" s="10">
        <v>9.9</v>
      </c>
      <c r="I9" s="10">
        <v>5.94</v>
      </c>
      <c r="J9" s="10">
        <v>7.92</v>
      </c>
      <c r="K9" s="10">
        <v>2.97</v>
      </c>
      <c r="L9" s="9">
        <v>100</v>
      </c>
    </row>
    <row r="10" spans="1:28" x14ac:dyDescent="0.25">
      <c r="A10" s="15" t="s">
        <v>58</v>
      </c>
      <c r="B10" s="22" t="s">
        <v>30</v>
      </c>
      <c r="C10" s="9">
        <v>71</v>
      </c>
      <c r="D10" s="9">
        <v>218</v>
      </c>
      <c r="E10" s="9">
        <v>306</v>
      </c>
      <c r="F10" s="9">
        <v>341</v>
      </c>
      <c r="G10" s="9">
        <v>298</v>
      </c>
      <c r="H10" s="9">
        <v>228</v>
      </c>
      <c r="I10" s="9">
        <v>150</v>
      </c>
      <c r="J10" s="9">
        <v>66</v>
      </c>
      <c r="K10" s="9">
        <v>54</v>
      </c>
      <c r="L10" s="9">
        <v>1732</v>
      </c>
    </row>
    <row r="11" spans="1:28" x14ac:dyDescent="0.25">
      <c r="A11" s="15"/>
      <c r="B11" s="22" t="s">
        <v>29</v>
      </c>
      <c r="C11" s="10">
        <v>4.0999999999999996</v>
      </c>
      <c r="D11" s="10">
        <v>12.59</v>
      </c>
      <c r="E11" s="10">
        <v>17.670000000000002</v>
      </c>
      <c r="F11" s="10">
        <v>19.690000000000001</v>
      </c>
      <c r="G11" s="10">
        <v>17.21</v>
      </c>
      <c r="H11" s="10">
        <v>13.16</v>
      </c>
      <c r="I11" s="10">
        <v>8.66</v>
      </c>
      <c r="J11" s="10">
        <v>3.81</v>
      </c>
      <c r="K11" s="10">
        <v>3.12</v>
      </c>
      <c r="L11" s="9">
        <v>100</v>
      </c>
    </row>
    <row r="12" spans="1:28" x14ac:dyDescent="0.25">
      <c r="A12" s="15" t="s">
        <v>44</v>
      </c>
      <c r="B12" s="22" t="s">
        <v>30</v>
      </c>
      <c r="C12" s="9">
        <v>29</v>
      </c>
      <c r="D12" s="9">
        <v>39</v>
      </c>
      <c r="E12" s="9">
        <v>21</v>
      </c>
      <c r="F12" s="9">
        <v>45</v>
      </c>
      <c r="G12" s="9">
        <v>39</v>
      </c>
      <c r="H12" s="9">
        <v>35</v>
      </c>
      <c r="I12" s="9">
        <v>27</v>
      </c>
      <c r="J12" s="9">
        <v>21</v>
      </c>
      <c r="K12" s="9">
        <v>22</v>
      </c>
      <c r="L12" s="9">
        <v>278</v>
      </c>
    </row>
    <row r="13" spans="1:28" x14ac:dyDescent="0.25">
      <c r="A13" s="15"/>
      <c r="B13" s="22" t="s">
        <v>29</v>
      </c>
      <c r="C13" s="10">
        <v>10.43</v>
      </c>
      <c r="D13" s="10">
        <v>14.03</v>
      </c>
      <c r="E13" s="10">
        <v>7.55</v>
      </c>
      <c r="F13" s="10">
        <v>16.190000000000001</v>
      </c>
      <c r="G13" s="10">
        <v>14.03</v>
      </c>
      <c r="H13" s="10">
        <v>12.59</v>
      </c>
      <c r="I13" s="10">
        <v>9.7100000000000009</v>
      </c>
      <c r="J13" s="10">
        <v>7.55</v>
      </c>
      <c r="K13" s="10">
        <v>7.91</v>
      </c>
      <c r="L13" s="9">
        <v>100</v>
      </c>
    </row>
    <row r="14" spans="1:28" x14ac:dyDescent="0.25">
      <c r="A14" s="15" t="s">
        <v>43</v>
      </c>
      <c r="B14" s="22" t="s">
        <v>30</v>
      </c>
      <c r="C14" s="9">
        <v>78</v>
      </c>
      <c r="D14" s="9">
        <v>309</v>
      </c>
      <c r="E14" s="9">
        <v>137</v>
      </c>
      <c r="F14" s="9">
        <v>64</v>
      </c>
      <c r="G14" s="9">
        <v>33</v>
      </c>
      <c r="H14" s="9">
        <v>18</v>
      </c>
      <c r="I14" s="9">
        <v>9</v>
      </c>
      <c r="J14" s="9">
        <v>5</v>
      </c>
      <c r="K14" s="9">
        <v>6</v>
      </c>
      <c r="L14" s="9">
        <v>659</v>
      </c>
    </row>
    <row r="15" spans="1:28" x14ac:dyDescent="0.25">
      <c r="A15" s="15"/>
      <c r="B15" s="22" t="s">
        <v>29</v>
      </c>
      <c r="C15" s="10">
        <v>11.84</v>
      </c>
      <c r="D15" s="10">
        <v>46.89</v>
      </c>
      <c r="E15" s="10">
        <v>20.79</v>
      </c>
      <c r="F15" s="10">
        <v>9.7100000000000009</v>
      </c>
      <c r="G15" s="10">
        <v>5.01</v>
      </c>
      <c r="H15" s="10">
        <v>2.73</v>
      </c>
      <c r="I15" s="10">
        <v>1.37</v>
      </c>
      <c r="J15" s="10">
        <v>0.76</v>
      </c>
      <c r="K15" s="10">
        <v>0.91</v>
      </c>
      <c r="L15" s="9">
        <v>100</v>
      </c>
    </row>
    <row r="16" spans="1:28" x14ac:dyDescent="0.25">
      <c r="A16" s="15" t="s">
        <v>0</v>
      </c>
      <c r="B16" s="22" t="s">
        <v>30</v>
      </c>
      <c r="C16" s="9">
        <v>485</v>
      </c>
      <c r="D16" s="9">
        <v>1038</v>
      </c>
      <c r="E16" s="9">
        <v>778</v>
      </c>
      <c r="F16" s="9">
        <v>761</v>
      </c>
      <c r="G16" s="9">
        <v>671</v>
      </c>
      <c r="H16" s="9">
        <v>553</v>
      </c>
      <c r="I16" s="9">
        <v>514</v>
      </c>
      <c r="J16" s="9">
        <v>428</v>
      </c>
      <c r="K16" s="9">
        <v>405</v>
      </c>
      <c r="L16" s="9">
        <v>5633</v>
      </c>
    </row>
    <row r="17" spans="1:12" x14ac:dyDescent="0.25">
      <c r="A17" s="15"/>
      <c r="B17" s="26" t="s">
        <v>29</v>
      </c>
      <c r="C17" s="28">
        <v>8.61</v>
      </c>
      <c r="D17" s="28">
        <v>18.43</v>
      </c>
      <c r="E17" s="28">
        <v>13.81</v>
      </c>
      <c r="F17" s="28">
        <v>13.51</v>
      </c>
      <c r="G17" s="28">
        <v>11.91</v>
      </c>
      <c r="H17" s="28">
        <v>9.82</v>
      </c>
      <c r="I17" s="28">
        <v>9.1199999999999992</v>
      </c>
      <c r="J17" s="28">
        <v>7.6</v>
      </c>
      <c r="K17" s="28">
        <v>7.19</v>
      </c>
      <c r="L17" s="27">
        <v>100</v>
      </c>
    </row>
    <row r="18" spans="1:12" x14ac:dyDescent="0.25">
      <c r="C18" s="56"/>
    </row>
    <row r="20" spans="1:12" x14ac:dyDescent="0.25">
      <c r="A20" s="3" t="s">
        <v>7</v>
      </c>
    </row>
    <row r="21" spans="1:12" ht="15" customHeight="1" x14ac:dyDescent="0.25">
      <c r="A21" s="78" t="s">
        <v>77</v>
      </c>
      <c r="B21" s="79" t="s">
        <v>55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</row>
    <row r="22" spans="1:12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</row>
    <row r="23" spans="1:12" x14ac:dyDescent="0.25">
      <c r="A23" s="78"/>
      <c r="B23" s="7"/>
      <c r="C23" s="7" t="s">
        <v>14</v>
      </c>
      <c r="D23" s="7" t="s">
        <v>46</v>
      </c>
      <c r="E23" s="7" t="s">
        <v>50</v>
      </c>
      <c r="F23" s="7" t="s">
        <v>17</v>
      </c>
      <c r="G23" s="7" t="s">
        <v>47</v>
      </c>
      <c r="H23" s="7" t="s">
        <v>48</v>
      </c>
      <c r="I23" s="7" t="s">
        <v>49</v>
      </c>
      <c r="J23" s="7" t="s">
        <v>51</v>
      </c>
      <c r="K23" s="7" t="s">
        <v>52</v>
      </c>
      <c r="L23" s="24" t="s">
        <v>0</v>
      </c>
    </row>
    <row r="24" spans="1:12" x14ac:dyDescent="0.25">
      <c r="A24" s="15" t="s">
        <v>27</v>
      </c>
      <c r="B24" s="16" t="s">
        <v>30</v>
      </c>
      <c r="C24" s="16">
        <v>53</v>
      </c>
      <c r="D24" s="16">
        <v>206</v>
      </c>
      <c r="E24" s="16">
        <v>200</v>
      </c>
      <c r="F24" s="16">
        <v>197</v>
      </c>
      <c r="G24" s="16">
        <v>188</v>
      </c>
      <c r="H24" s="16">
        <v>133</v>
      </c>
      <c r="I24" s="16">
        <v>74</v>
      </c>
      <c r="J24" s="16">
        <v>80</v>
      </c>
      <c r="K24" s="16">
        <v>83</v>
      </c>
      <c r="L24" s="16">
        <v>1214</v>
      </c>
    </row>
    <row r="25" spans="1:12" x14ac:dyDescent="0.25">
      <c r="A25" s="15"/>
      <c r="B25" s="22" t="s">
        <v>29</v>
      </c>
      <c r="C25" s="25">
        <v>4.37</v>
      </c>
      <c r="D25" s="25">
        <v>16.97</v>
      </c>
      <c r="E25" s="25">
        <v>16.47</v>
      </c>
      <c r="F25" s="25">
        <v>16.23</v>
      </c>
      <c r="G25" s="25">
        <v>15.49</v>
      </c>
      <c r="H25" s="25">
        <v>10.96</v>
      </c>
      <c r="I25" s="25">
        <v>6.1</v>
      </c>
      <c r="J25" s="25">
        <v>6.59</v>
      </c>
      <c r="K25" s="25">
        <v>6.84</v>
      </c>
      <c r="L25" s="22">
        <v>100</v>
      </c>
    </row>
    <row r="26" spans="1:12" x14ac:dyDescent="0.25">
      <c r="A26" s="15" t="s">
        <v>57</v>
      </c>
      <c r="B26" s="22" t="s">
        <v>30</v>
      </c>
      <c r="C26" s="22">
        <v>74</v>
      </c>
      <c r="D26" s="22">
        <v>55</v>
      </c>
      <c r="E26" s="22">
        <v>23</v>
      </c>
      <c r="F26" s="22">
        <v>20</v>
      </c>
      <c r="G26" s="22">
        <v>23</v>
      </c>
      <c r="H26" s="22">
        <v>37</v>
      </c>
      <c r="I26" s="22">
        <v>90</v>
      </c>
      <c r="J26" s="22">
        <v>108</v>
      </c>
      <c r="K26" s="22">
        <v>119</v>
      </c>
      <c r="L26" s="22">
        <v>549</v>
      </c>
    </row>
    <row r="27" spans="1:12" x14ac:dyDescent="0.25">
      <c r="A27" s="15"/>
      <c r="B27" s="22" t="s">
        <v>29</v>
      </c>
      <c r="C27" s="25">
        <v>13.48</v>
      </c>
      <c r="D27" s="25">
        <v>10.02</v>
      </c>
      <c r="E27" s="25">
        <v>4.1900000000000004</v>
      </c>
      <c r="F27" s="25">
        <v>3.64</v>
      </c>
      <c r="G27" s="25">
        <v>4.1900000000000004</v>
      </c>
      <c r="H27" s="25">
        <v>6.74</v>
      </c>
      <c r="I27" s="25">
        <v>16.39</v>
      </c>
      <c r="J27" s="25">
        <v>19.670000000000002</v>
      </c>
      <c r="K27" s="25">
        <v>21.68</v>
      </c>
      <c r="L27" s="22">
        <v>100</v>
      </c>
    </row>
    <row r="28" spans="1:12" x14ac:dyDescent="0.25">
      <c r="A28" s="15" t="s">
        <v>40</v>
      </c>
      <c r="B28" s="22" t="s">
        <v>30</v>
      </c>
      <c r="C28" s="22">
        <v>2</v>
      </c>
      <c r="D28" s="22">
        <v>14</v>
      </c>
      <c r="E28" s="22">
        <v>10</v>
      </c>
      <c r="F28" s="22">
        <v>10</v>
      </c>
      <c r="G28" s="22">
        <v>11</v>
      </c>
      <c r="H28" s="22">
        <v>5</v>
      </c>
      <c r="I28" s="22">
        <v>4</v>
      </c>
      <c r="J28" s="22">
        <v>3</v>
      </c>
      <c r="K28" s="22">
        <v>1</v>
      </c>
      <c r="L28" s="22">
        <v>60</v>
      </c>
    </row>
    <row r="29" spans="1:12" x14ac:dyDescent="0.25">
      <c r="A29" s="15"/>
      <c r="B29" s="22" t="s">
        <v>29</v>
      </c>
      <c r="C29" s="25">
        <v>3.33</v>
      </c>
      <c r="D29" s="25">
        <v>23.33</v>
      </c>
      <c r="E29" s="25">
        <v>16.670000000000002</v>
      </c>
      <c r="F29" s="25">
        <v>16.670000000000002</v>
      </c>
      <c r="G29" s="25">
        <v>18.329999999999998</v>
      </c>
      <c r="H29" s="25">
        <v>8.33</v>
      </c>
      <c r="I29" s="25">
        <v>6.67</v>
      </c>
      <c r="J29" s="25">
        <v>5</v>
      </c>
      <c r="K29" s="25">
        <v>1.67</v>
      </c>
      <c r="L29" s="22">
        <v>100</v>
      </c>
    </row>
    <row r="30" spans="1:12" x14ac:dyDescent="0.25">
      <c r="A30" s="15" t="s">
        <v>58</v>
      </c>
      <c r="B30" s="22" t="s">
        <v>30</v>
      </c>
      <c r="C30" s="22">
        <v>32</v>
      </c>
      <c r="D30" s="22">
        <v>119</v>
      </c>
      <c r="E30" s="22">
        <v>164</v>
      </c>
      <c r="F30" s="22">
        <v>205</v>
      </c>
      <c r="G30" s="22">
        <v>181</v>
      </c>
      <c r="H30" s="22">
        <v>118</v>
      </c>
      <c r="I30" s="22">
        <v>73</v>
      </c>
      <c r="J30" s="22">
        <v>28</v>
      </c>
      <c r="K30" s="22">
        <v>40</v>
      </c>
      <c r="L30" s="22">
        <v>960</v>
      </c>
    </row>
    <row r="31" spans="1:12" x14ac:dyDescent="0.25">
      <c r="A31" s="15"/>
      <c r="B31" s="22" t="s">
        <v>29</v>
      </c>
      <c r="C31" s="25">
        <v>3.33</v>
      </c>
      <c r="D31" s="25">
        <v>12.4</v>
      </c>
      <c r="E31" s="25">
        <v>17.079999999999998</v>
      </c>
      <c r="F31" s="25">
        <v>21.35</v>
      </c>
      <c r="G31" s="25">
        <v>18.850000000000001</v>
      </c>
      <c r="H31" s="25">
        <v>12.29</v>
      </c>
      <c r="I31" s="25">
        <v>7.6</v>
      </c>
      <c r="J31" s="25">
        <v>2.92</v>
      </c>
      <c r="K31" s="25">
        <v>4.17</v>
      </c>
      <c r="L31" s="22">
        <v>100</v>
      </c>
    </row>
    <row r="32" spans="1:12" x14ac:dyDescent="0.25">
      <c r="A32" s="15" t="s">
        <v>44</v>
      </c>
      <c r="B32" s="22" t="s">
        <v>30</v>
      </c>
      <c r="C32" s="22">
        <v>14</v>
      </c>
      <c r="D32" s="22">
        <v>18</v>
      </c>
      <c r="E32" s="22">
        <v>16</v>
      </c>
      <c r="F32" s="22">
        <v>39</v>
      </c>
      <c r="G32" s="22">
        <v>34</v>
      </c>
      <c r="H32" s="22">
        <v>24</v>
      </c>
      <c r="I32" s="22">
        <v>20</v>
      </c>
      <c r="J32" s="22">
        <v>16</v>
      </c>
      <c r="K32" s="22">
        <v>16</v>
      </c>
      <c r="L32" s="22">
        <v>197</v>
      </c>
    </row>
    <row r="33" spans="1:12" x14ac:dyDescent="0.25">
      <c r="A33" s="15"/>
      <c r="B33" s="22" t="s">
        <v>29</v>
      </c>
      <c r="C33" s="25">
        <v>7.11</v>
      </c>
      <c r="D33" s="25">
        <v>9.14</v>
      </c>
      <c r="E33" s="25">
        <v>8.1199999999999992</v>
      </c>
      <c r="F33" s="25">
        <v>19.8</v>
      </c>
      <c r="G33" s="25">
        <v>17.260000000000002</v>
      </c>
      <c r="H33" s="25">
        <v>12.18</v>
      </c>
      <c r="I33" s="25">
        <v>10.15</v>
      </c>
      <c r="J33" s="25">
        <v>8.1199999999999992</v>
      </c>
      <c r="K33" s="25">
        <v>8.1199999999999992</v>
      </c>
      <c r="L33" s="22">
        <v>100</v>
      </c>
    </row>
    <row r="34" spans="1:12" x14ac:dyDescent="0.25">
      <c r="A34" s="15" t="s">
        <v>43</v>
      </c>
      <c r="B34" s="22" t="s">
        <v>30</v>
      </c>
      <c r="C34" s="22">
        <v>59</v>
      </c>
      <c r="D34" s="22">
        <v>251</v>
      </c>
      <c r="E34" s="22">
        <v>123</v>
      </c>
      <c r="F34" s="22">
        <v>61</v>
      </c>
      <c r="G34" s="22">
        <v>31</v>
      </c>
      <c r="H34" s="22">
        <v>17</v>
      </c>
      <c r="I34" s="22">
        <v>9</v>
      </c>
      <c r="J34" s="22">
        <v>5</v>
      </c>
      <c r="K34" s="22">
        <v>6</v>
      </c>
      <c r="L34" s="22">
        <v>562</v>
      </c>
    </row>
    <row r="35" spans="1:12" x14ac:dyDescent="0.25">
      <c r="A35" s="15"/>
      <c r="B35" s="22" t="s">
        <v>29</v>
      </c>
      <c r="C35" s="25">
        <v>10.5</v>
      </c>
      <c r="D35" s="25">
        <v>44.66</v>
      </c>
      <c r="E35" s="25">
        <v>21.89</v>
      </c>
      <c r="F35" s="25">
        <v>10.85</v>
      </c>
      <c r="G35" s="25">
        <v>5.52</v>
      </c>
      <c r="H35" s="25">
        <v>3.02</v>
      </c>
      <c r="I35" s="25">
        <v>1.6</v>
      </c>
      <c r="J35" s="25">
        <v>0.89</v>
      </c>
      <c r="K35" s="25">
        <v>1.07</v>
      </c>
      <c r="L35" s="22">
        <v>100</v>
      </c>
    </row>
    <row r="36" spans="1:12" x14ac:dyDescent="0.25">
      <c r="A36" s="15" t="s">
        <v>0</v>
      </c>
      <c r="B36" s="22" t="s">
        <v>30</v>
      </c>
      <c r="C36" s="22">
        <v>234</v>
      </c>
      <c r="D36" s="22">
        <v>663</v>
      </c>
      <c r="E36" s="22">
        <v>536</v>
      </c>
      <c r="F36" s="22">
        <v>532</v>
      </c>
      <c r="G36" s="22">
        <v>468</v>
      </c>
      <c r="H36" s="22">
        <v>334</v>
      </c>
      <c r="I36" s="22">
        <v>270</v>
      </c>
      <c r="J36" s="22">
        <v>240</v>
      </c>
      <c r="K36" s="22">
        <v>265</v>
      </c>
      <c r="L36" s="22">
        <v>3542</v>
      </c>
    </row>
    <row r="37" spans="1:12" x14ac:dyDescent="0.25">
      <c r="A37" s="15"/>
      <c r="B37" s="26" t="s">
        <v>29</v>
      </c>
      <c r="C37" s="48">
        <v>6.61</v>
      </c>
      <c r="D37" s="48">
        <v>18.72</v>
      </c>
      <c r="E37" s="48">
        <v>15.13</v>
      </c>
      <c r="F37" s="48">
        <v>15.02</v>
      </c>
      <c r="G37" s="48">
        <v>13.21</v>
      </c>
      <c r="H37" s="48">
        <v>9.43</v>
      </c>
      <c r="I37" s="48">
        <v>7.62</v>
      </c>
      <c r="J37" s="48">
        <v>6.78</v>
      </c>
      <c r="K37" s="48">
        <v>7.48</v>
      </c>
      <c r="L37" s="26">
        <v>100</v>
      </c>
    </row>
    <row r="40" spans="1:12" x14ac:dyDescent="0.25">
      <c r="A40" s="3" t="s">
        <v>6</v>
      </c>
    </row>
    <row r="41" spans="1:12" ht="15" customHeight="1" x14ac:dyDescent="0.25">
      <c r="A41" s="78" t="s">
        <v>77</v>
      </c>
      <c r="B41" s="79" t="s">
        <v>56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</row>
    <row r="42" spans="1:12" x14ac:dyDescent="0.25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1:12" x14ac:dyDescent="0.25">
      <c r="A43" s="78"/>
      <c r="B43" s="7"/>
      <c r="C43" s="7" t="s">
        <v>14</v>
      </c>
      <c r="D43" s="7" t="s">
        <v>46</v>
      </c>
      <c r="E43" s="7" t="s">
        <v>50</v>
      </c>
      <c r="F43" s="7" t="s">
        <v>17</v>
      </c>
      <c r="G43" s="7" t="s">
        <v>47</v>
      </c>
      <c r="H43" s="7" t="s">
        <v>48</v>
      </c>
      <c r="I43" s="7" t="s">
        <v>49</v>
      </c>
      <c r="J43" s="7" t="s">
        <v>51</v>
      </c>
      <c r="K43" s="7" t="s">
        <v>52</v>
      </c>
      <c r="L43" s="24" t="s">
        <v>0</v>
      </c>
    </row>
    <row r="44" spans="1:12" x14ac:dyDescent="0.25">
      <c r="A44" s="15" t="s">
        <v>27</v>
      </c>
      <c r="B44" s="16" t="s">
        <v>30</v>
      </c>
      <c r="C44" s="15">
        <v>58</v>
      </c>
      <c r="D44" s="15">
        <v>100</v>
      </c>
      <c r="E44" s="15">
        <v>56</v>
      </c>
      <c r="F44" s="15">
        <v>57</v>
      </c>
      <c r="G44" s="15">
        <v>46</v>
      </c>
      <c r="H44" s="15">
        <v>43</v>
      </c>
      <c r="I44" s="15">
        <v>66</v>
      </c>
      <c r="J44" s="15">
        <v>49</v>
      </c>
      <c r="K44" s="15">
        <v>40</v>
      </c>
      <c r="L44" s="15">
        <v>515</v>
      </c>
    </row>
    <row r="45" spans="1:12" x14ac:dyDescent="0.25">
      <c r="A45" s="15"/>
      <c r="B45" s="22" t="s">
        <v>29</v>
      </c>
      <c r="C45" s="10">
        <v>11.26</v>
      </c>
      <c r="D45" s="10">
        <v>19.420000000000002</v>
      </c>
      <c r="E45" s="10">
        <v>10.87</v>
      </c>
      <c r="F45" s="10">
        <v>11.07</v>
      </c>
      <c r="G45" s="10">
        <v>8.93</v>
      </c>
      <c r="H45" s="10">
        <v>8.35</v>
      </c>
      <c r="I45" s="10">
        <v>12.82</v>
      </c>
      <c r="J45" s="10">
        <v>9.51</v>
      </c>
      <c r="K45" s="10">
        <v>7.77</v>
      </c>
      <c r="L45" s="9">
        <v>100</v>
      </c>
    </row>
    <row r="46" spans="1:12" x14ac:dyDescent="0.25">
      <c r="A46" s="15" t="s">
        <v>57</v>
      </c>
      <c r="B46" s="22" t="s">
        <v>30</v>
      </c>
      <c r="C46" s="9">
        <v>119</v>
      </c>
      <c r="D46" s="9">
        <v>84</v>
      </c>
      <c r="E46" s="9">
        <v>21</v>
      </c>
      <c r="F46" s="9">
        <v>21</v>
      </c>
      <c r="G46" s="9">
        <v>30</v>
      </c>
      <c r="H46" s="9">
        <v>49</v>
      </c>
      <c r="I46" s="9">
        <v>92</v>
      </c>
      <c r="J46" s="9">
        <v>91</v>
      </c>
      <c r="K46" s="9">
        <v>78</v>
      </c>
      <c r="L46" s="9">
        <v>585</v>
      </c>
    </row>
    <row r="47" spans="1:12" x14ac:dyDescent="0.25">
      <c r="A47" s="15"/>
      <c r="B47" s="22" t="s">
        <v>29</v>
      </c>
      <c r="C47" s="10">
        <v>20.34</v>
      </c>
      <c r="D47" s="10">
        <v>14.36</v>
      </c>
      <c r="E47" s="10">
        <v>3.59</v>
      </c>
      <c r="F47" s="10">
        <v>3.59</v>
      </c>
      <c r="G47" s="10">
        <v>5.13</v>
      </c>
      <c r="H47" s="10">
        <v>8.3800000000000008</v>
      </c>
      <c r="I47" s="10">
        <v>15.73</v>
      </c>
      <c r="J47" s="10">
        <v>15.56</v>
      </c>
      <c r="K47" s="10">
        <v>13.33</v>
      </c>
      <c r="L47" s="9">
        <v>100</v>
      </c>
    </row>
    <row r="48" spans="1:12" x14ac:dyDescent="0.25">
      <c r="A48" s="15" t="s">
        <v>40</v>
      </c>
      <c r="B48" s="22" t="s">
        <v>30</v>
      </c>
      <c r="C48" s="9">
        <v>1</v>
      </c>
      <c r="D48" s="9">
        <v>13</v>
      </c>
      <c r="E48" s="9">
        <v>4</v>
      </c>
      <c r="F48" s="9">
        <v>6</v>
      </c>
      <c r="G48" s="9">
        <v>3</v>
      </c>
      <c r="H48" s="9">
        <v>5</v>
      </c>
      <c r="I48" s="9">
        <v>2</v>
      </c>
      <c r="J48" s="9">
        <v>5</v>
      </c>
      <c r="K48" s="9">
        <v>2</v>
      </c>
      <c r="L48" s="9">
        <v>41</v>
      </c>
    </row>
    <row r="49" spans="1:12" x14ac:dyDescent="0.25">
      <c r="A49" s="15"/>
      <c r="B49" s="22" t="s">
        <v>29</v>
      </c>
      <c r="C49" s="10">
        <v>2.44</v>
      </c>
      <c r="D49" s="10">
        <v>31.71</v>
      </c>
      <c r="E49" s="10">
        <v>9.76</v>
      </c>
      <c r="F49" s="10">
        <v>14.63</v>
      </c>
      <c r="G49" s="10">
        <v>7.32</v>
      </c>
      <c r="H49" s="10">
        <v>12.2</v>
      </c>
      <c r="I49" s="10">
        <v>4.88</v>
      </c>
      <c r="J49" s="10">
        <v>12.2</v>
      </c>
      <c r="K49" s="10">
        <v>4.88</v>
      </c>
      <c r="L49" s="9">
        <v>100</v>
      </c>
    </row>
    <row r="50" spans="1:12" x14ac:dyDescent="0.25">
      <c r="A50" s="15" t="s">
        <v>58</v>
      </c>
      <c r="B50" s="22" t="s">
        <v>30</v>
      </c>
      <c r="C50" s="9">
        <v>39</v>
      </c>
      <c r="D50" s="9">
        <v>99</v>
      </c>
      <c r="E50" s="9">
        <v>142</v>
      </c>
      <c r="F50" s="9">
        <v>136</v>
      </c>
      <c r="G50" s="9">
        <v>117</v>
      </c>
      <c r="H50" s="9">
        <v>110</v>
      </c>
      <c r="I50" s="9">
        <v>77</v>
      </c>
      <c r="J50" s="9">
        <v>38</v>
      </c>
      <c r="K50" s="9">
        <v>14</v>
      </c>
      <c r="L50" s="9">
        <v>772</v>
      </c>
    </row>
    <row r="51" spans="1:12" x14ac:dyDescent="0.25">
      <c r="A51" s="15"/>
      <c r="B51" s="22" t="s">
        <v>29</v>
      </c>
      <c r="C51" s="10">
        <v>5.05</v>
      </c>
      <c r="D51" s="10">
        <v>12.82</v>
      </c>
      <c r="E51" s="10">
        <v>18.39</v>
      </c>
      <c r="F51" s="10">
        <v>17.62</v>
      </c>
      <c r="G51" s="10">
        <v>15.16</v>
      </c>
      <c r="H51" s="10">
        <v>14.25</v>
      </c>
      <c r="I51" s="10">
        <v>9.9700000000000006</v>
      </c>
      <c r="J51" s="10">
        <v>4.92</v>
      </c>
      <c r="K51" s="10">
        <v>1.81</v>
      </c>
      <c r="L51" s="9">
        <v>100</v>
      </c>
    </row>
    <row r="52" spans="1:12" x14ac:dyDescent="0.25">
      <c r="A52" s="15" t="s">
        <v>44</v>
      </c>
      <c r="B52" s="22" t="s">
        <v>30</v>
      </c>
      <c r="C52" s="9">
        <v>15</v>
      </c>
      <c r="D52" s="9">
        <v>21</v>
      </c>
      <c r="E52" s="9">
        <v>5</v>
      </c>
      <c r="F52" s="9">
        <v>6</v>
      </c>
      <c r="G52" s="9">
        <v>5</v>
      </c>
      <c r="H52" s="9">
        <v>11</v>
      </c>
      <c r="I52" s="9">
        <v>7</v>
      </c>
      <c r="J52" s="9">
        <v>5</v>
      </c>
      <c r="K52" s="9">
        <v>6</v>
      </c>
      <c r="L52" s="9">
        <v>81</v>
      </c>
    </row>
    <row r="53" spans="1:12" x14ac:dyDescent="0.25">
      <c r="A53" s="15"/>
      <c r="B53" s="22" t="s">
        <v>29</v>
      </c>
      <c r="C53" s="10">
        <v>18.52</v>
      </c>
      <c r="D53" s="10">
        <v>25.93</v>
      </c>
      <c r="E53" s="10">
        <v>6.17</v>
      </c>
      <c r="F53" s="10">
        <v>7.41</v>
      </c>
      <c r="G53" s="10">
        <v>6.17</v>
      </c>
      <c r="H53" s="10">
        <v>13.58</v>
      </c>
      <c r="I53" s="10">
        <v>8.64</v>
      </c>
      <c r="J53" s="10">
        <v>6.17</v>
      </c>
      <c r="K53" s="10">
        <v>7.41</v>
      </c>
      <c r="L53" s="9">
        <v>100</v>
      </c>
    </row>
    <row r="54" spans="1:12" x14ac:dyDescent="0.25">
      <c r="A54" s="15" t="s">
        <v>43</v>
      </c>
      <c r="B54" s="22" t="s">
        <v>30</v>
      </c>
      <c r="C54" s="9">
        <v>19</v>
      </c>
      <c r="D54" s="9">
        <v>58</v>
      </c>
      <c r="E54" s="9">
        <v>14</v>
      </c>
      <c r="F54" s="9">
        <v>3</v>
      </c>
      <c r="G54" s="9">
        <v>2</v>
      </c>
      <c r="H54" s="9">
        <v>1</v>
      </c>
      <c r="I54" s="9">
        <v>0</v>
      </c>
      <c r="J54" s="9">
        <v>0</v>
      </c>
      <c r="K54" s="9">
        <v>0</v>
      </c>
      <c r="L54" s="9">
        <v>97</v>
      </c>
    </row>
    <row r="55" spans="1:12" x14ac:dyDescent="0.25">
      <c r="A55" s="15"/>
      <c r="B55" s="22" t="s">
        <v>29</v>
      </c>
      <c r="C55" s="10">
        <v>19.59</v>
      </c>
      <c r="D55" s="10">
        <v>59.79</v>
      </c>
      <c r="E55" s="10">
        <v>14.43</v>
      </c>
      <c r="F55" s="10">
        <v>3.09</v>
      </c>
      <c r="G55" s="10">
        <v>2.06</v>
      </c>
      <c r="H55" s="10">
        <v>1.03</v>
      </c>
      <c r="I55" s="10">
        <v>0</v>
      </c>
      <c r="J55" s="10">
        <v>0</v>
      </c>
      <c r="K55" s="10">
        <v>0</v>
      </c>
      <c r="L55" s="9">
        <v>100</v>
      </c>
    </row>
    <row r="56" spans="1:12" x14ac:dyDescent="0.25">
      <c r="A56" s="15" t="s">
        <v>0</v>
      </c>
      <c r="B56" s="22" t="s">
        <v>30</v>
      </c>
      <c r="C56" s="9">
        <v>251</v>
      </c>
      <c r="D56" s="9">
        <v>375</v>
      </c>
      <c r="E56" s="9">
        <v>242</v>
      </c>
      <c r="F56" s="9">
        <v>229</v>
      </c>
      <c r="G56" s="9">
        <v>203</v>
      </c>
      <c r="H56" s="9">
        <v>219</v>
      </c>
      <c r="I56" s="9">
        <v>244</v>
      </c>
      <c r="J56" s="9">
        <v>188</v>
      </c>
      <c r="K56" s="9">
        <v>140</v>
      </c>
      <c r="L56" s="9">
        <v>2091</v>
      </c>
    </row>
    <row r="57" spans="1:12" x14ac:dyDescent="0.25">
      <c r="A57" s="15"/>
      <c r="B57" s="26" t="s">
        <v>29</v>
      </c>
      <c r="C57" s="28">
        <v>12</v>
      </c>
      <c r="D57" s="28">
        <v>17.93</v>
      </c>
      <c r="E57" s="28">
        <v>11.57</v>
      </c>
      <c r="F57" s="28">
        <v>10.95</v>
      </c>
      <c r="G57" s="28">
        <v>9.7100000000000009</v>
      </c>
      <c r="H57" s="28">
        <v>10.47</v>
      </c>
      <c r="I57" s="28">
        <v>11.67</v>
      </c>
      <c r="J57" s="28">
        <v>8.99</v>
      </c>
      <c r="K57" s="28">
        <v>6.7</v>
      </c>
      <c r="L57" s="27">
        <v>100</v>
      </c>
    </row>
  </sheetData>
  <mergeCells count="7">
    <mergeCell ref="A41:A43"/>
    <mergeCell ref="B41:L42"/>
    <mergeCell ref="A1:A3"/>
    <mergeCell ref="B1:L2"/>
    <mergeCell ref="N4:R6"/>
    <mergeCell ref="A21:A23"/>
    <mergeCell ref="B21:L2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52"/>
  <sheetViews>
    <sheetView zoomScale="85" zoomScaleNormal="85" workbookViewId="0">
      <selection activeCell="O27" sqref="O27"/>
    </sheetView>
  </sheetViews>
  <sheetFormatPr defaultColWidth="12.42578125" defaultRowHeight="15" x14ac:dyDescent="0.25"/>
  <cols>
    <col min="2" max="2" width="5" bestFit="1" customWidth="1"/>
  </cols>
  <sheetData>
    <row r="1" spans="1:25" ht="15" customHeight="1" x14ac:dyDescent="0.25">
      <c r="A1" s="78" t="s">
        <v>28</v>
      </c>
      <c r="B1" s="79" t="s">
        <v>73</v>
      </c>
      <c r="C1" s="79"/>
      <c r="D1" s="79"/>
      <c r="E1" s="79"/>
      <c r="F1" s="79"/>
      <c r="G1" s="79"/>
      <c r="H1" s="79"/>
      <c r="I1" s="79"/>
    </row>
    <row r="2" spans="1:25" x14ac:dyDescent="0.25">
      <c r="A2" s="78"/>
      <c r="B2" s="79"/>
      <c r="C2" s="79"/>
      <c r="D2" s="79"/>
      <c r="E2" s="79"/>
      <c r="F2" s="79"/>
      <c r="G2" s="79"/>
      <c r="H2" s="79"/>
      <c r="I2" s="79"/>
      <c r="K2" s="29" t="s">
        <v>63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x14ac:dyDescent="0.25">
      <c r="A3" s="32"/>
      <c r="B3" s="15"/>
      <c r="C3" s="17" t="s">
        <v>27</v>
      </c>
      <c r="D3" s="17" t="s">
        <v>41</v>
      </c>
      <c r="E3" s="17" t="s">
        <v>42</v>
      </c>
      <c r="F3" s="17" t="s">
        <v>43</v>
      </c>
      <c r="G3" s="17" t="s">
        <v>44</v>
      </c>
      <c r="H3" s="17" t="s">
        <v>40</v>
      </c>
      <c r="I3" s="17" t="s">
        <v>0</v>
      </c>
    </row>
    <row r="4" spans="1:25" ht="15" customHeight="1" x14ac:dyDescent="0.25">
      <c r="A4" s="15" t="s">
        <v>26</v>
      </c>
      <c r="B4" s="22" t="s">
        <v>30</v>
      </c>
      <c r="C4" s="23">
        <v>712</v>
      </c>
      <c r="D4" s="23">
        <v>563</v>
      </c>
      <c r="E4" s="23">
        <v>281</v>
      </c>
      <c r="F4" s="23">
        <v>431</v>
      </c>
      <c r="G4" s="23">
        <v>101</v>
      </c>
      <c r="H4" s="23">
        <v>53</v>
      </c>
      <c r="I4" s="9">
        <v>2141</v>
      </c>
      <c r="K4" s="77" t="s">
        <v>84</v>
      </c>
      <c r="L4" s="77"/>
      <c r="M4" s="77"/>
      <c r="N4" s="77"/>
      <c r="O4" s="77"/>
    </row>
    <row r="5" spans="1:25" ht="15" customHeight="1" x14ac:dyDescent="0.25">
      <c r="A5" s="15"/>
      <c r="B5" s="22" t="s">
        <v>29</v>
      </c>
      <c r="C5" s="10">
        <v>33.26</v>
      </c>
      <c r="D5" s="10">
        <v>26.3</v>
      </c>
      <c r="E5" s="10">
        <v>13.12</v>
      </c>
      <c r="F5" s="10">
        <v>20.13</v>
      </c>
      <c r="G5" s="10">
        <v>4.72</v>
      </c>
      <c r="H5" s="10">
        <v>2.48</v>
      </c>
      <c r="I5" s="9">
        <v>100</v>
      </c>
      <c r="K5" s="77"/>
      <c r="L5" s="77"/>
      <c r="M5" s="77"/>
      <c r="N5" s="77"/>
      <c r="O5" s="77"/>
    </row>
    <row r="6" spans="1:25" ht="15" customHeight="1" x14ac:dyDescent="0.25">
      <c r="A6" s="15" t="s">
        <v>8</v>
      </c>
      <c r="B6" s="22" t="s">
        <v>30</v>
      </c>
      <c r="C6" s="9">
        <v>478</v>
      </c>
      <c r="D6" s="9">
        <v>630</v>
      </c>
      <c r="E6" s="9">
        <v>423</v>
      </c>
      <c r="F6" s="9">
        <v>73</v>
      </c>
      <c r="G6" s="9">
        <v>85</v>
      </c>
      <c r="H6" s="9">
        <v>20</v>
      </c>
      <c r="I6" s="9">
        <v>1709</v>
      </c>
      <c r="K6" s="77"/>
      <c r="L6" s="77"/>
      <c r="M6" s="77"/>
      <c r="N6" s="77"/>
      <c r="O6" s="77"/>
    </row>
    <row r="7" spans="1:25" x14ac:dyDescent="0.25">
      <c r="A7" s="15"/>
      <c r="B7" s="22" t="s">
        <v>29</v>
      </c>
      <c r="C7" s="10">
        <v>27.97</v>
      </c>
      <c r="D7" s="10">
        <v>36.86</v>
      </c>
      <c r="E7" s="10">
        <v>24.75</v>
      </c>
      <c r="F7" s="10">
        <v>4.2699999999999996</v>
      </c>
      <c r="G7" s="10">
        <v>4.97</v>
      </c>
      <c r="H7" s="10">
        <v>1.17</v>
      </c>
      <c r="I7" s="9">
        <v>100</v>
      </c>
    </row>
    <row r="8" spans="1:25" x14ac:dyDescent="0.25">
      <c r="A8" s="15" t="s">
        <v>27</v>
      </c>
      <c r="B8" s="22" t="s">
        <v>30</v>
      </c>
      <c r="C8" s="9">
        <v>219</v>
      </c>
      <c r="D8" s="9">
        <v>119</v>
      </c>
      <c r="E8" s="9">
        <v>255</v>
      </c>
      <c r="F8" s="9">
        <v>50</v>
      </c>
      <c r="G8" s="9">
        <v>33</v>
      </c>
      <c r="H8" s="9">
        <v>9</v>
      </c>
      <c r="I8" s="9">
        <v>685</v>
      </c>
    </row>
    <row r="9" spans="1:25" x14ac:dyDescent="0.25">
      <c r="A9" s="15"/>
      <c r="B9" s="22" t="s">
        <v>29</v>
      </c>
      <c r="C9" s="10">
        <v>31.97</v>
      </c>
      <c r="D9" s="10">
        <v>17.37</v>
      </c>
      <c r="E9" s="10">
        <v>37.229999999999997</v>
      </c>
      <c r="F9" s="10">
        <v>7.3</v>
      </c>
      <c r="G9" s="10">
        <v>4.82</v>
      </c>
      <c r="H9" s="10">
        <v>1.31</v>
      </c>
      <c r="I9" s="9">
        <v>100</v>
      </c>
    </row>
    <row r="10" spans="1:25" x14ac:dyDescent="0.25">
      <c r="A10" s="15" t="s">
        <v>10</v>
      </c>
      <c r="B10" s="22" t="s">
        <v>30</v>
      </c>
      <c r="C10" s="9">
        <v>165</v>
      </c>
      <c r="D10" s="9">
        <v>191</v>
      </c>
      <c r="E10" s="9">
        <v>89</v>
      </c>
      <c r="F10" s="9">
        <v>31</v>
      </c>
      <c r="G10" s="9">
        <v>28</v>
      </c>
      <c r="H10" s="9">
        <v>8</v>
      </c>
      <c r="I10" s="9">
        <v>512</v>
      </c>
    </row>
    <row r="11" spans="1:25" x14ac:dyDescent="0.25">
      <c r="A11" s="15"/>
      <c r="B11" s="22" t="s">
        <v>29</v>
      </c>
      <c r="C11" s="10">
        <v>32.229999999999997</v>
      </c>
      <c r="D11" s="10">
        <v>37.299999999999997</v>
      </c>
      <c r="E11" s="10">
        <v>17.38</v>
      </c>
      <c r="F11" s="10">
        <v>6.05</v>
      </c>
      <c r="G11" s="10">
        <v>5.47</v>
      </c>
      <c r="H11" s="10">
        <v>1.56</v>
      </c>
      <c r="I11" s="9">
        <v>100</v>
      </c>
    </row>
    <row r="12" spans="1:25" x14ac:dyDescent="0.25">
      <c r="A12" s="15" t="s">
        <v>1</v>
      </c>
      <c r="B12" s="22" t="s">
        <v>30</v>
      </c>
      <c r="C12" s="9">
        <v>116</v>
      </c>
      <c r="D12" s="9">
        <v>182</v>
      </c>
      <c r="E12" s="9">
        <v>64</v>
      </c>
      <c r="F12" s="9">
        <v>58</v>
      </c>
      <c r="G12" s="9">
        <v>19</v>
      </c>
      <c r="H12" s="9">
        <v>10</v>
      </c>
      <c r="I12" s="9">
        <v>449</v>
      </c>
    </row>
    <row r="13" spans="1:25" x14ac:dyDescent="0.25">
      <c r="A13" s="15"/>
      <c r="B13" s="22" t="s">
        <v>29</v>
      </c>
      <c r="C13" s="10">
        <v>25.84</v>
      </c>
      <c r="D13" s="10">
        <v>40.53</v>
      </c>
      <c r="E13" s="10">
        <v>14.25</v>
      </c>
      <c r="F13" s="10">
        <v>12.92</v>
      </c>
      <c r="G13" s="10">
        <v>4.2300000000000004</v>
      </c>
      <c r="H13" s="10">
        <v>2.23</v>
      </c>
      <c r="I13" s="9">
        <v>100</v>
      </c>
    </row>
    <row r="14" spans="1:25" x14ac:dyDescent="0.25">
      <c r="A14" s="15" t="s">
        <v>0</v>
      </c>
      <c r="B14" s="22" t="s">
        <v>30</v>
      </c>
      <c r="C14" s="9">
        <v>1690</v>
      </c>
      <c r="D14" s="9">
        <v>1685</v>
      </c>
      <c r="E14" s="9">
        <v>1112</v>
      </c>
      <c r="F14" s="9">
        <v>643</v>
      </c>
      <c r="G14" s="9">
        <v>266</v>
      </c>
      <c r="H14" s="9">
        <v>100</v>
      </c>
      <c r="I14" s="9">
        <v>5496</v>
      </c>
    </row>
    <row r="15" spans="1:25" x14ac:dyDescent="0.25">
      <c r="A15" s="15"/>
      <c r="B15" s="17" t="s">
        <v>29</v>
      </c>
      <c r="C15" s="8">
        <v>30.75</v>
      </c>
      <c r="D15" s="8">
        <v>30.66</v>
      </c>
      <c r="E15" s="8">
        <v>20.23</v>
      </c>
      <c r="F15" s="8">
        <v>11.7</v>
      </c>
      <c r="G15" s="8">
        <v>4.84</v>
      </c>
      <c r="H15" s="8">
        <v>1.82</v>
      </c>
      <c r="I15" s="7">
        <v>100</v>
      </c>
    </row>
    <row r="18" spans="1:9" x14ac:dyDescent="0.25">
      <c r="A18" s="3" t="s">
        <v>37</v>
      </c>
    </row>
    <row r="19" spans="1:9" x14ac:dyDescent="0.25">
      <c r="A19" s="78" t="s">
        <v>28</v>
      </c>
      <c r="B19" s="79" t="s">
        <v>74</v>
      </c>
      <c r="C19" s="79"/>
      <c r="D19" s="79"/>
      <c r="E19" s="79"/>
      <c r="F19" s="79"/>
      <c r="G19" s="79"/>
      <c r="H19" s="79"/>
      <c r="I19" s="79"/>
    </row>
    <row r="20" spans="1:9" x14ac:dyDescent="0.25">
      <c r="A20" s="78"/>
      <c r="B20" s="79"/>
      <c r="C20" s="79"/>
      <c r="D20" s="79"/>
      <c r="E20" s="79"/>
      <c r="F20" s="79"/>
      <c r="G20" s="79"/>
      <c r="H20" s="79"/>
      <c r="I20" s="79"/>
    </row>
    <row r="21" spans="1:9" x14ac:dyDescent="0.25">
      <c r="A21" s="78"/>
      <c r="B21" s="15"/>
      <c r="C21" s="17" t="s">
        <v>27</v>
      </c>
      <c r="D21" s="17" t="s">
        <v>41</v>
      </c>
      <c r="E21" s="17" t="s">
        <v>42</v>
      </c>
      <c r="F21" s="17" t="s">
        <v>43</v>
      </c>
      <c r="G21" s="17" t="s">
        <v>44</v>
      </c>
      <c r="H21" s="17" t="s">
        <v>40</v>
      </c>
      <c r="I21" s="17" t="s">
        <v>0</v>
      </c>
    </row>
    <row r="22" spans="1:9" x14ac:dyDescent="0.25">
      <c r="A22" s="15" t="s">
        <v>26</v>
      </c>
      <c r="B22" s="22" t="s">
        <v>30</v>
      </c>
      <c r="C22" s="43">
        <v>515</v>
      </c>
      <c r="D22" s="43">
        <v>320</v>
      </c>
      <c r="E22" s="43">
        <v>125</v>
      </c>
      <c r="F22" s="43">
        <v>364</v>
      </c>
      <c r="G22" s="43">
        <v>58</v>
      </c>
      <c r="H22" s="43">
        <v>34</v>
      </c>
      <c r="I22" s="58">
        <v>1416</v>
      </c>
    </row>
    <row r="23" spans="1:9" x14ac:dyDescent="0.25">
      <c r="A23" s="15"/>
      <c r="B23" s="22" t="s">
        <v>29</v>
      </c>
      <c r="C23" s="36">
        <v>36.369999999999997</v>
      </c>
      <c r="D23" s="36">
        <v>22.6</v>
      </c>
      <c r="E23" s="36">
        <v>8.83</v>
      </c>
      <c r="F23" s="36">
        <v>25.71</v>
      </c>
      <c r="G23" s="36">
        <v>4.0999999999999996</v>
      </c>
      <c r="H23" s="36">
        <v>2.4</v>
      </c>
      <c r="I23" s="58">
        <v>100</v>
      </c>
    </row>
    <row r="24" spans="1:9" x14ac:dyDescent="0.25">
      <c r="A24" s="15" t="s">
        <v>8</v>
      </c>
      <c r="B24" s="22" t="s">
        <v>30</v>
      </c>
      <c r="C24" s="58">
        <v>320</v>
      </c>
      <c r="D24" s="58">
        <v>329</v>
      </c>
      <c r="E24" s="58">
        <v>209</v>
      </c>
      <c r="F24" s="58">
        <v>63</v>
      </c>
      <c r="G24" s="58">
        <v>67</v>
      </c>
      <c r="H24" s="58">
        <v>7</v>
      </c>
      <c r="I24" s="58">
        <v>995</v>
      </c>
    </row>
    <row r="25" spans="1:9" x14ac:dyDescent="0.25">
      <c r="A25" s="15"/>
      <c r="B25" s="22" t="s">
        <v>29</v>
      </c>
      <c r="C25" s="36">
        <v>32.159999999999997</v>
      </c>
      <c r="D25" s="36">
        <v>33.07</v>
      </c>
      <c r="E25" s="36">
        <v>21.01</v>
      </c>
      <c r="F25" s="36">
        <v>6.33</v>
      </c>
      <c r="G25" s="36">
        <v>6.73</v>
      </c>
      <c r="H25" s="36">
        <v>0.7</v>
      </c>
      <c r="I25" s="58">
        <v>100</v>
      </c>
    </row>
    <row r="26" spans="1:9" x14ac:dyDescent="0.25">
      <c r="A26" s="15" t="s">
        <v>27</v>
      </c>
      <c r="B26" s="22" t="s">
        <v>30</v>
      </c>
      <c r="C26" s="58">
        <v>135</v>
      </c>
      <c r="D26" s="58">
        <v>67</v>
      </c>
      <c r="E26" s="58">
        <v>121</v>
      </c>
      <c r="F26" s="58">
        <v>41</v>
      </c>
      <c r="G26" s="58">
        <v>20</v>
      </c>
      <c r="H26" s="58">
        <v>6</v>
      </c>
      <c r="I26" s="58">
        <v>390</v>
      </c>
    </row>
    <row r="27" spans="1:9" x14ac:dyDescent="0.25">
      <c r="A27" s="15"/>
      <c r="B27" s="22" t="s">
        <v>29</v>
      </c>
      <c r="C27" s="36">
        <v>34.619999999999997</v>
      </c>
      <c r="D27" s="36">
        <v>17.18</v>
      </c>
      <c r="E27" s="36">
        <v>31.03</v>
      </c>
      <c r="F27" s="36">
        <v>10.51</v>
      </c>
      <c r="G27" s="36">
        <v>5.13</v>
      </c>
      <c r="H27" s="36">
        <v>1.54</v>
      </c>
      <c r="I27" s="58">
        <v>100</v>
      </c>
    </row>
    <row r="28" spans="1:9" x14ac:dyDescent="0.25">
      <c r="A28" s="15" t="s">
        <v>10</v>
      </c>
      <c r="B28" s="22" t="s">
        <v>30</v>
      </c>
      <c r="C28" s="58">
        <v>126</v>
      </c>
      <c r="D28" s="58">
        <v>103</v>
      </c>
      <c r="E28" s="58">
        <v>54</v>
      </c>
      <c r="F28" s="58">
        <v>31</v>
      </c>
      <c r="G28" s="58">
        <v>23</v>
      </c>
      <c r="H28" s="58">
        <v>6</v>
      </c>
      <c r="I28" s="58">
        <v>343</v>
      </c>
    </row>
    <row r="29" spans="1:9" x14ac:dyDescent="0.25">
      <c r="A29" s="15"/>
      <c r="B29" s="22" t="s">
        <v>29</v>
      </c>
      <c r="C29" s="36">
        <v>36.729999999999997</v>
      </c>
      <c r="D29" s="36">
        <v>30.03</v>
      </c>
      <c r="E29" s="36">
        <v>15.74</v>
      </c>
      <c r="F29" s="36">
        <v>9.0399999999999991</v>
      </c>
      <c r="G29" s="36">
        <v>6.71</v>
      </c>
      <c r="H29" s="36">
        <v>1.75</v>
      </c>
      <c r="I29" s="58">
        <v>100</v>
      </c>
    </row>
    <row r="30" spans="1:9" x14ac:dyDescent="0.25">
      <c r="A30" s="15" t="s">
        <v>1</v>
      </c>
      <c r="B30" s="22" t="s">
        <v>30</v>
      </c>
      <c r="C30" s="58">
        <v>86</v>
      </c>
      <c r="D30" s="58">
        <v>111</v>
      </c>
      <c r="E30" s="58">
        <v>31</v>
      </c>
      <c r="F30" s="58">
        <v>49</v>
      </c>
      <c r="G30" s="58">
        <v>18</v>
      </c>
      <c r="H30" s="58">
        <v>6</v>
      </c>
      <c r="I30" s="58">
        <v>301</v>
      </c>
    </row>
    <row r="31" spans="1:9" x14ac:dyDescent="0.25">
      <c r="A31" s="15"/>
      <c r="B31" s="22" t="s">
        <v>29</v>
      </c>
      <c r="C31" s="36">
        <v>28.57</v>
      </c>
      <c r="D31" s="36">
        <v>36.880000000000003</v>
      </c>
      <c r="E31" s="36">
        <v>10.3</v>
      </c>
      <c r="F31" s="36">
        <v>16.28</v>
      </c>
      <c r="G31" s="36">
        <v>5.98</v>
      </c>
      <c r="H31" s="36">
        <v>1.99</v>
      </c>
      <c r="I31" s="58">
        <v>100</v>
      </c>
    </row>
    <row r="32" spans="1:9" x14ac:dyDescent="0.25">
      <c r="A32" s="15" t="s">
        <v>0</v>
      </c>
      <c r="B32" s="22" t="s">
        <v>30</v>
      </c>
      <c r="C32" s="58">
        <v>1182</v>
      </c>
      <c r="D32" s="58">
        <v>930</v>
      </c>
      <c r="E32" s="58">
        <v>540</v>
      </c>
      <c r="F32" s="58">
        <v>548</v>
      </c>
      <c r="G32" s="58">
        <v>186</v>
      </c>
      <c r="H32" s="58">
        <v>59</v>
      </c>
      <c r="I32" s="58">
        <v>3445</v>
      </c>
    </row>
    <row r="33" spans="1:9" x14ac:dyDescent="0.25">
      <c r="A33" s="15"/>
      <c r="B33" s="17" t="s">
        <v>29</v>
      </c>
      <c r="C33" s="40">
        <v>34.31</v>
      </c>
      <c r="D33" s="40">
        <v>27</v>
      </c>
      <c r="E33" s="40">
        <v>15.67</v>
      </c>
      <c r="F33" s="40">
        <v>15.91</v>
      </c>
      <c r="G33" s="40">
        <v>5.4</v>
      </c>
      <c r="H33" s="40">
        <v>1.71</v>
      </c>
      <c r="I33" s="24">
        <v>100</v>
      </c>
    </row>
    <row r="37" spans="1:9" x14ac:dyDescent="0.25">
      <c r="A37" s="3" t="s">
        <v>45</v>
      </c>
      <c r="C37" s="16"/>
      <c r="D37" s="16"/>
      <c r="E37" s="16"/>
    </row>
    <row r="38" spans="1:9" ht="15" customHeight="1" x14ac:dyDescent="0.25">
      <c r="A38" s="78" t="s">
        <v>28</v>
      </c>
      <c r="B38" s="79" t="s">
        <v>75</v>
      </c>
      <c r="C38" s="79"/>
      <c r="D38" s="79"/>
      <c r="E38" s="79"/>
      <c r="F38" s="79"/>
      <c r="G38" s="79"/>
      <c r="H38" s="79"/>
      <c r="I38" s="79"/>
    </row>
    <row r="39" spans="1:9" x14ac:dyDescent="0.25">
      <c r="A39" s="78"/>
      <c r="B39" s="79"/>
      <c r="C39" s="79"/>
      <c r="D39" s="79"/>
      <c r="E39" s="79"/>
      <c r="F39" s="79"/>
      <c r="G39" s="79"/>
      <c r="H39" s="79"/>
      <c r="I39" s="79"/>
    </row>
    <row r="40" spans="1:9" x14ac:dyDescent="0.25">
      <c r="A40" s="78"/>
      <c r="B40" s="15"/>
      <c r="C40" s="17" t="s">
        <v>41</v>
      </c>
      <c r="D40" s="17" t="s">
        <v>42</v>
      </c>
      <c r="E40" s="17" t="s">
        <v>27</v>
      </c>
      <c r="F40" s="17" t="s">
        <v>43</v>
      </c>
      <c r="G40" s="17" t="s">
        <v>44</v>
      </c>
      <c r="H40" s="17" t="s">
        <v>40</v>
      </c>
      <c r="I40" s="17" t="s">
        <v>0</v>
      </c>
    </row>
    <row r="41" spans="1:9" x14ac:dyDescent="0.25">
      <c r="A41" s="15" t="s">
        <v>26</v>
      </c>
      <c r="B41" s="22" t="s">
        <v>30</v>
      </c>
      <c r="C41" s="23">
        <v>243</v>
      </c>
      <c r="D41" s="23">
        <v>156</v>
      </c>
      <c r="E41" s="23">
        <v>197</v>
      </c>
      <c r="F41" s="23">
        <v>67</v>
      </c>
      <c r="G41" s="23">
        <v>43</v>
      </c>
      <c r="H41" s="23">
        <v>19</v>
      </c>
      <c r="I41" s="9">
        <v>725</v>
      </c>
    </row>
    <row r="42" spans="1:9" x14ac:dyDescent="0.25">
      <c r="A42" s="15"/>
      <c r="B42" s="22" t="s">
        <v>29</v>
      </c>
      <c r="C42" s="10">
        <v>33.520000000000003</v>
      </c>
      <c r="D42" s="10">
        <v>21.52</v>
      </c>
      <c r="E42" s="10">
        <v>27.17</v>
      </c>
      <c r="F42" s="10">
        <v>9.24</v>
      </c>
      <c r="G42" s="10">
        <v>5.93</v>
      </c>
      <c r="H42" s="10">
        <v>2.62</v>
      </c>
      <c r="I42" s="9">
        <v>100</v>
      </c>
    </row>
    <row r="43" spans="1:9" x14ac:dyDescent="0.25">
      <c r="A43" s="15" t="s">
        <v>8</v>
      </c>
      <c r="B43" s="22" t="s">
        <v>30</v>
      </c>
      <c r="C43" s="9">
        <v>301</v>
      </c>
      <c r="D43" s="9">
        <v>214</v>
      </c>
      <c r="E43" s="9">
        <v>158</v>
      </c>
      <c r="F43" s="9">
        <v>10</v>
      </c>
      <c r="G43" s="9">
        <v>18</v>
      </c>
      <c r="H43" s="9">
        <v>13</v>
      </c>
      <c r="I43" s="9">
        <v>714</v>
      </c>
    </row>
    <row r="44" spans="1:9" x14ac:dyDescent="0.25">
      <c r="A44" s="15"/>
      <c r="B44" s="22" t="s">
        <v>29</v>
      </c>
      <c r="C44" s="10">
        <v>42.16</v>
      </c>
      <c r="D44" s="10">
        <v>29.97</v>
      </c>
      <c r="E44" s="10">
        <v>22.13</v>
      </c>
      <c r="F44" s="10">
        <v>1.4</v>
      </c>
      <c r="G44" s="10">
        <v>2.52</v>
      </c>
      <c r="H44" s="10">
        <v>1.82</v>
      </c>
      <c r="I44" s="9">
        <v>100</v>
      </c>
    </row>
    <row r="45" spans="1:9" x14ac:dyDescent="0.25">
      <c r="A45" s="15" t="s">
        <v>27</v>
      </c>
      <c r="B45" s="22" t="s">
        <v>30</v>
      </c>
      <c r="C45" s="9">
        <v>52</v>
      </c>
      <c r="D45" s="9">
        <v>134</v>
      </c>
      <c r="E45" s="9">
        <v>84</v>
      </c>
      <c r="F45" s="9">
        <v>9</v>
      </c>
      <c r="G45" s="9">
        <v>13</v>
      </c>
      <c r="H45" s="9">
        <v>3</v>
      </c>
      <c r="I45" s="9">
        <v>295</v>
      </c>
    </row>
    <row r="46" spans="1:9" x14ac:dyDescent="0.25">
      <c r="A46" s="15"/>
      <c r="B46" s="22" t="s">
        <v>29</v>
      </c>
      <c r="C46" s="10">
        <v>17.63</v>
      </c>
      <c r="D46" s="10">
        <v>45.42</v>
      </c>
      <c r="E46" s="10">
        <v>28.47</v>
      </c>
      <c r="F46" s="10">
        <v>3.05</v>
      </c>
      <c r="G46" s="10">
        <v>4.41</v>
      </c>
      <c r="H46" s="10">
        <v>1.02</v>
      </c>
      <c r="I46" s="9">
        <v>100</v>
      </c>
    </row>
    <row r="47" spans="1:9" x14ac:dyDescent="0.25">
      <c r="A47" s="15" t="s">
        <v>10</v>
      </c>
      <c r="B47" s="22" t="s">
        <v>30</v>
      </c>
      <c r="C47" s="9">
        <v>88</v>
      </c>
      <c r="D47" s="9">
        <v>35</v>
      </c>
      <c r="E47" s="9">
        <v>39</v>
      </c>
      <c r="F47" s="9">
        <v>0</v>
      </c>
      <c r="G47" s="9">
        <v>5</v>
      </c>
      <c r="H47" s="9">
        <v>2</v>
      </c>
      <c r="I47" s="9">
        <v>169</v>
      </c>
    </row>
    <row r="48" spans="1:9" x14ac:dyDescent="0.25">
      <c r="A48" s="15"/>
      <c r="B48" s="22" t="s">
        <v>29</v>
      </c>
      <c r="C48" s="10">
        <v>52.07</v>
      </c>
      <c r="D48" s="10">
        <v>20.71</v>
      </c>
      <c r="E48" s="10">
        <v>23.08</v>
      </c>
      <c r="F48" s="10">
        <v>0</v>
      </c>
      <c r="G48" s="10">
        <v>2.96</v>
      </c>
      <c r="H48" s="10">
        <v>1.18</v>
      </c>
      <c r="I48" s="9">
        <v>100</v>
      </c>
    </row>
    <row r="49" spans="1:9" x14ac:dyDescent="0.25">
      <c r="A49" s="15" t="s">
        <v>1</v>
      </c>
      <c r="B49" s="22" t="s">
        <v>30</v>
      </c>
      <c r="C49" s="9">
        <v>71</v>
      </c>
      <c r="D49" s="9">
        <v>33</v>
      </c>
      <c r="E49" s="9">
        <v>30</v>
      </c>
      <c r="F49" s="9">
        <v>9</v>
      </c>
      <c r="G49" s="9">
        <v>1</v>
      </c>
      <c r="H49" s="9">
        <v>4</v>
      </c>
      <c r="I49" s="9">
        <v>148</v>
      </c>
    </row>
    <row r="50" spans="1:9" x14ac:dyDescent="0.25">
      <c r="A50" s="15"/>
      <c r="B50" s="22" t="s">
        <v>29</v>
      </c>
      <c r="C50" s="10">
        <v>47.97</v>
      </c>
      <c r="D50" s="10">
        <v>22.3</v>
      </c>
      <c r="E50" s="10">
        <v>20.27</v>
      </c>
      <c r="F50" s="10">
        <v>6.08</v>
      </c>
      <c r="G50" s="10">
        <v>0.68</v>
      </c>
      <c r="H50" s="10">
        <v>2.7</v>
      </c>
      <c r="I50" s="9">
        <v>100</v>
      </c>
    </row>
    <row r="51" spans="1:9" x14ac:dyDescent="0.25">
      <c r="A51" s="15" t="s">
        <v>0</v>
      </c>
      <c r="B51" s="22" t="s">
        <v>30</v>
      </c>
      <c r="C51" s="9">
        <v>755</v>
      </c>
      <c r="D51" s="9">
        <v>572</v>
      </c>
      <c r="E51" s="9">
        <v>508</v>
      </c>
      <c r="F51" s="9">
        <v>95</v>
      </c>
      <c r="G51" s="9">
        <v>80</v>
      </c>
      <c r="H51" s="9">
        <v>41</v>
      </c>
      <c r="I51" s="9">
        <v>2051</v>
      </c>
    </row>
    <row r="52" spans="1:9" x14ac:dyDescent="0.25">
      <c r="A52" s="15"/>
      <c r="B52" s="17" t="s">
        <v>29</v>
      </c>
      <c r="C52" s="8">
        <v>36.81</v>
      </c>
      <c r="D52" s="8">
        <v>27.89</v>
      </c>
      <c r="E52" s="8">
        <v>24.77</v>
      </c>
      <c r="F52" s="8">
        <v>4.63</v>
      </c>
      <c r="G52" s="8">
        <v>3.9</v>
      </c>
      <c r="H52" s="8">
        <v>2</v>
      </c>
      <c r="I52" s="7">
        <v>100</v>
      </c>
    </row>
  </sheetData>
  <mergeCells count="7">
    <mergeCell ref="A38:A40"/>
    <mergeCell ref="B38:I39"/>
    <mergeCell ref="A1:A2"/>
    <mergeCell ref="B1:I2"/>
    <mergeCell ref="K4:O6"/>
    <mergeCell ref="A19:A21"/>
    <mergeCell ref="B19:I20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77"/>
  <sheetViews>
    <sheetView zoomScale="85" zoomScaleNormal="85" workbookViewId="0">
      <selection activeCell="L49" sqref="L49"/>
    </sheetView>
  </sheetViews>
  <sheetFormatPr defaultRowHeight="15" x14ac:dyDescent="0.25"/>
  <cols>
    <col min="1" max="1" width="10.28515625" bestFit="1" customWidth="1"/>
    <col min="3" max="3" width="10.28515625" bestFit="1" customWidth="1"/>
    <col min="4" max="4" width="19.28515625" bestFit="1" customWidth="1"/>
    <col min="5" max="5" width="11.85546875" bestFit="1" customWidth="1"/>
    <col min="6" max="6" width="7" bestFit="1" customWidth="1"/>
    <col min="7" max="7" width="12" bestFit="1" customWidth="1"/>
    <col min="8" max="8" width="7.42578125" bestFit="1" customWidth="1"/>
  </cols>
  <sheetData>
    <row r="1" spans="1:15" ht="15" customHeight="1" x14ac:dyDescent="0.25">
      <c r="A1" s="78" t="s">
        <v>65</v>
      </c>
      <c r="B1" s="79" t="s">
        <v>35</v>
      </c>
      <c r="C1" s="79"/>
      <c r="D1" s="79"/>
      <c r="E1" s="79"/>
      <c r="F1" s="79"/>
      <c r="G1" s="79"/>
      <c r="H1" s="79"/>
      <c r="K1" s="77" t="s">
        <v>84</v>
      </c>
      <c r="L1" s="77"/>
      <c r="M1" s="77"/>
      <c r="N1" s="77"/>
      <c r="O1" s="77"/>
    </row>
    <row r="2" spans="1:15" ht="15" customHeight="1" x14ac:dyDescent="0.25">
      <c r="A2" s="78"/>
      <c r="B2" s="79"/>
      <c r="C2" s="79"/>
      <c r="D2" s="79"/>
      <c r="E2" s="79"/>
      <c r="F2" s="79"/>
      <c r="G2" s="79"/>
      <c r="H2" s="79"/>
      <c r="K2" s="77"/>
      <c r="L2" s="77"/>
      <c r="M2" s="77"/>
      <c r="N2" s="77"/>
      <c r="O2" s="77"/>
    </row>
    <row r="3" spans="1:15" ht="15" customHeight="1" x14ac:dyDescent="0.25">
      <c r="A3" s="32"/>
      <c r="B3" s="7"/>
      <c r="C3" s="17" t="s">
        <v>24</v>
      </c>
      <c r="D3" s="17" t="s">
        <v>32</v>
      </c>
      <c r="E3" s="17" t="s">
        <v>34</v>
      </c>
      <c r="F3" s="17" t="s">
        <v>33</v>
      </c>
      <c r="G3" s="17" t="s">
        <v>0</v>
      </c>
      <c r="K3" s="77"/>
      <c r="L3" s="77"/>
      <c r="M3" s="77"/>
      <c r="N3" s="77"/>
      <c r="O3" s="77"/>
    </row>
    <row r="4" spans="1:15" ht="15" customHeight="1" x14ac:dyDescent="0.25">
      <c r="A4" s="15" t="s">
        <v>14</v>
      </c>
      <c r="B4" s="16" t="s">
        <v>30</v>
      </c>
      <c r="C4" s="16">
        <v>448</v>
      </c>
      <c r="D4" s="16">
        <v>77</v>
      </c>
      <c r="E4" s="16">
        <v>88</v>
      </c>
      <c r="F4" s="16">
        <v>12</v>
      </c>
      <c r="G4" s="16">
        <v>625</v>
      </c>
      <c r="H4" s="16"/>
    </row>
    <row r="5" spans="1:15" ht="15" customHeight="1" x14ac:dyDescent="0.25">
      <c r="A5" s="15"/>
      <c r="B5" s="22" t="s">
        <v>29</v>
      </c>
      <c r="C5" s="25">
        <v>71.680000000000007</v>
      </c>
      <c r="D5" s="25">
        <v>12.32</v>
      </c>
      <c r="E5" s="25">
        <v>14.08</v>
      </c>
      <c r="F5" s="25">
        <v>1.92</v>
      </c>
      <c r="G5" s="25">
        <v>100</v>
      </c>
      <c r="H5" s="34"/>
    </row>
    <row r="6" spans="1:15" x14ac:dyDescent="0.25">
      <c r="A6" s="15" t="s">
        <v>46</v>
      </c>
      <c r="B6" s="22" t="s">
        <v>30</v>
      </c>
      <c r="C6" s="22">
        <v>636</v>
      </c>
      <c r="D6" s="22">
        <v>464</v>
      </c>
      <c r="E6" s="22">
        <v>231</v>
      </c>
      <c r="F6" s="22">
        <v>45</v>
      </c>
      <c r="G6" s="22">
        <v>1376</v>
      </c>
      <c r="H6" s="22"/>
    </row>
    <row r="7" spans="1:15" x14ac:dyDescent="0.25">
      <c r="A7" s="15"/>
      <c r="B7" s="22" t="s">
        <v>29</v>
      </c>
      <c r="C7" s="25">
        <v>46.22</v>
      </c>
      <c r="D7" s="25">
        <v>33.72</v>
      </c>
      <c r="E7" s="25">
        <v>16.79</v>
      </c>
      <c r="F7" s="25">
        <v>3.27</v>
      </c>
      <c r="G7" s="25">
        <v>100</v>
      </c>
      <c r="H7" s="34"/>
    </row>
    <row r="8" spans="1:15" x14ac:dyDescent="0.25">
      <c r="A8" s="15" t="s">
        <v>50</v>
      </c>
      <c r="B8" s="22" t="s">
        <v>30</v>
      </c>
      <c r="C8" s="22">
        <v>494</v>
      </c>
      <c r="D8" s="22">
        <v>321</v>
      </c>
      <c r="E8" s="22">
        <v>129</v>
      </c>
      <c r="F8" s="22">
        <v>21</v>
      </c>
      <c r="G8" s="22">
        <v>965</v>
      </c>
      <c r="H8" s="22"/>
    </row>
    <row r="9" spans="1:15" x14ac:dyDescent="0.25">
      <c r="A9" s="15"/>
      <c r="B9" s="22" t="s">
        <v>29</v>
      </c>
      <c r="C9" s="25">
        <v>51.19</v>
      </c>
      <c r="D9" s="25">
        <v>33.26</v>
      </c>
      <c r="E9" s="25">
        <v>13.37</v>
      </c>
      <c r="F9" s="25">
        <v>2.1800000000000002</v>
      </c>
      <c r="G9" s="25">
        <v>100</v>
      </c>
      <c r="H9" s="34"/>
    </row>
    <row r="10" spans="1:15" x14ac:dyDescent="0.25">
      <c r="A10" s="15" t="s">
        <v>17</v>
      </c>
      <c r="B10" s="22" t="s">
        <v>30</v>
      </c>
      <c r="C10" s="22">
        <v>506</v>
      </c>
      <c r="D10" s="22">
        <v>287</v>
      </c>
      <c r="E10" s="22">
        <v>115</v>
      </c>
      <c r="F10" s="22">
        <v>19</v>
      </c>
      <c r="G10" s="22">
        <v>927</v>
      </c>
      <c r="H10" s="22"/>
    </row>
    <row r="11" spans="1:15" x14ac:dyDescent="0.25">
      <c r="A11" s="15"/>
      <c r="B11" s="22" t="s">
        <v>29</v>
      </c>
      <c r="C11" s="25">
        <v>54.58</v>
      </c>
      <c r="D11" s="25">
        <v>30.96</v>
      </c>
      <c r="E11" s="25">
        <v>12.41</v>
      </c>
      <c r="F11" s="25">
        <v>2.0499999999999998</v>
      </c>
      <c r="G11" s="25">
        <v>100</v>
      </c>
      <c r="H11" s="34"/>
    </row>
    <row r="12" spans="1:15" x14ac:dyDescent="0.25">
      <c r="A12" s="15" t="s">
        <v>47</v>
      </c>
      <c r="B12" s="22" t="s">
        <v>30</v>
      </c>
      <c r="C12" s="22">
        <v>488</v>
      </c>
      <c r="D12" s="22">
        <v>218</v>
      </c>
      <c r="E12" s="22">
        <v>100</v>
      </c>
      <c r="F12" s="22">
        <v>20</v>
      </c>
      <c r="G12" s="22">
        <v>826</v>
      </c>
      <c r="H12" s="22"/>
    </row>
    <row r="13" spans="1:15" x14ac:dyDescent="0.25">
      <c r="A13" s="15"/>
      <c r="B13" s="22" t="s">
        <v>29</v>
      </c>
      <c r="C13" s="25">
        <v>59.08</v>
      </c>
      <c r="D13" s="25">
        <v>26.39</v>
      </c>
      <c r="E13" s="25">
        <v>12.11</v>
      </c>
      <c r="F13" s="25">
        <v>2.42</v>
      </c>
      <c r="G13" s="25">
        <v>100</v>
      </c>
      <c r="H13" s="34"/>
    </row>
    <row r="14" spans="1:15" x14ac:dyDescent="0.25">
      <c r="A14" s="15" t="s">
        <v>48</v>
      </c>
      <c r="B14" s="22" t="s">
        <v>30</v>
      </c>
      <c r="C14" s="22">
        <v>417</v>
      </c>
      <c r="D14" s="22">
        <v>142</v>
      </c>
      <c r="E14" s="22">
        <v>93</v>
      </c>
      <c r="F14" s="22">
        <v>17</v>
      </c>
      <c r="G14" s="22">
        <v>669</v>
      </c>
      <c r="H14" s="22"/>
    </row>
    <row r="15" spans="1:15" x14ac:dyDescent="0.25">
      <c r="A15" s="15"/>
      <c r="B15" s="22" t="s">
        <v>29</v>
      </c>
      <c r="C15" s="25">
        <v>62.33</v>
      </c>
      <c r="D15" s="25">
        <v>21.23</v>
      </c>
      <c r="E15" s="25">
        <v>13.9</v>
      </c>
      <c r="F15" s="25">
        <v>2.54</v>
      </c>
      <c r="G15" s="25">
        <v>100</v>
      </c>
      <c r="H15" s="34"/>
    </row>
    <row r="16" spans="1:15" x14ac:dyDescent="0.25">
      <c r="A16" s="15" t="s">
        <v>49</v>
      </c>
      <c r="B16" s="22" t="s">
        <v>30</v>
      </c>
      <c r="C16" s="22">
        <v>456</v>
      </c>
      <c r="D16" s="22">
        <v>99</v>
      </c>
      <c r="E16" s="22">
        <v>110</v>
      </c>
      <c r="F16" s="22">
        <v>15</v>
      </c>
      <c r="G16" s="22">
        <v>680</v>
      </c>
      <c r="H16" s="22"/>
    </row>
    <row r="17" spans="1:16" x14ac:dyDescent="0.25">
      <c r="A17" s="15"/>
      <c r="B17" s="22" t="s">
        <v>29</v>
      </c>
      <c r="C17" s="25">
        <v>67.06</v>
      </c>
      <c r="D17" s="25">
        <v>14.56</v>
      </c>
      <c r="E17" s="25">
        <v>16.18</v>
      </c>
      <c r="F17" s="25">
        <v>2.21</v>
      </c>
      <c r="G17" s="25">
        <v>100</v>
      </c>
      <c r="H17" s="34"/>
    </row>
    <row r="18" spans="1:16" x14ac:dyDescent="0.25">
      <c r="A18" s="15" t="s">
        <v>51</v>
      </c>
      <c r="B18" s="22" t="s">
        <v>30</v>
      </c>
      <c r="C18" s="22">
        <v>384</v>
      </c>
      <c r="D18" s="22">
        <v>50</v>
      </c>
      <c r="E18" s="22">
        <v>125</v>
      </c>
      <c r="F18" s="22">
        <v>12</v>
      </c>
      <c r="G18" s="22">
        <v>571</v>
      </c>
      <c r="H18" s="22"/>
    </row>
    <row r="19" spans="1:16" x14ac:dyDescent="0.25">
      <c r="A19" s="15"/>
      <c r="B19" s="22" t="s">
        <v>29</v>
      </c>
      <c r="C19" s="25">
        <v>67.25</v>
      </c>
      <c r="D19" s="25">
        <v>8.76</v>
      </c>
      <c r="E19" s="25">
        <v>21.89</v>
      </c>
      <c r="F19" s="25">
        <v>2.1</v>
      </c>
      <c r="G19" s="25">
        <v>100</v>
      </c>
      <c r="H19" s="34"/>
    </row>
    <row r="20" spans="1:16" x14ac:dyDescent="0.25">
      <c r="A20" s="15" t="s">
        <v>52</v>
      </c>
      <c r="B20" s="22" t="s">
        <v>30</v>
      </c>
      <c r="C20" s="22">
        <v>328</v>
      </c>
      <c r="D20" s="22">
        <v>23</v>
      </c>
      <c r="E20" s="22">
        <v>113</v>
      </c>
      <c r="F20" s="22">
        <v>9</v>
      </c>
      <c r="G20" s="22">
        <v>473</v>
      </c>
      <c r="H20" s="22"/>
    </row>
    <row r="21" spans="1:16" x14ac:dyDescent="0.25">
      <c r="A21" s="15"/>
      <c r="B21" s="22" t="s">
        <v>29</v>
      </c>
      <c r="C21" s="25">
        <v>69.34</v>
      </c>
      <c r="D21" s="25">
        <v>4.8600000000000003</v>
      </c>
      <c r="E21" s="25">
        <v>23.89</v>
      </c>
      <c r="F21" s="25">
        <v>1.9</v>
      </c>
      <c r="G21" s="25">
        <v>100</v>
      </c>
      <c r="H21" s="34"/>
    </row>
    <row r="22" spans="1:16" x14ac:dyDescent="0.25">
      <c r="A22" s="15" t="s">
        <v>0</v>
      </c>
      <c r="B22" s="22" t="s">
        <v>30</v>
      </c>
      <c r="C22" s="22">
        <v>4157</v>
      </c>
      <c r="D22" s="22">
        <v>1681</v>
      </c>
      <c r="E22" s="22">
        <v>1104</v>
      </c>
      <c r="F22" s="22">
        <v>170</v>
      </c>
      <c r="G22" s="22">
        <v>7112</v>
      </c>
      <c r="H22" s="22"/>
    </row>
    <row r="23" spans="1:16" x14ac:dyDescent="0.25">
      <c r="A23" s="15"/>
      <c r="B23" s="17" t="s">
        <v>29</v>
      </c>
      <c r="C23" s="21">
        <v>58.45</v>
      </c>
      <c r="D23" s="21">
        <v>23.64</v>
      </c>
      <c r="E23" s="21">
        <v>15.52</v>
      </c>
      <c r="F23" s="21">
        <v>2.39</v>
      </c>
      <c r="G23" s="21">
        <v>100</v>
      </c>
      <c r="H23" s="35"/>
    </row>
    <row r="24" spans="1:16" ht="15" customHeight="1" x14ac:dyDescent="0.25">
      <c r="M24" s="65"/>
      <c r="N24" s="65"/>
      <c r="O24" s="65"/>
      <c r="P24" s="65"/>
    </row>
    <row r="25" spans="1:16" ht="15" customHeight="1" x14ac:dyDescent="0.25">
      <c r="M25" s="65"/>
      <c r="N25" s="65"/>
      <c r="O25" s="65"/>
      <c r="P25" s="65"/>
    </row>
    <row r="26" spans="1:16" ht="15" customHeight="1" x14ac:dyDescent="0.25">
      <c r="M26" s="65"/>
      <c r="N26" s="65"/>
      <c r="O26" s="65"/>
      <c r="P26" s="65"/>
    </row>
    <row r="27" spans="1:16" ht="15" customHeight="1" x14ac:dyDescent="0.25">
      <c r="A27" s="3" t="s">
        <v>7</v>
      </c>
      <c r="M27" s="65"/>
      <c r="N27" s="65"/>
      <c r="O27" s="65"/>
      <c r="P27" s="65"/>
    </row>
    <row r="28" spans="1:16" ht="15" customHeight="1" x14ac:dyDescent="0.25">
      <c r="A28" s="78" t="s">
        <v>65</v>
      </c>
      <c r="B28" s="79" t="s">
        <v>36</v>
      </c>
      <c r="C28" s="79"/>
      <c r="D28" s="79"/>
      <c r="E28" s="79"/>
      <c r="F28" s="79"/>
      <c r="G28" s="79"/>
      <c r="H28" s="79"/>
      <c r="M28" s="65"/>
      <c r="N28" s="65"/>
      <c r="O28" s="65"/>
      <c r="P28" s="65"/>
    </row>
    <row r="29" spans="1:16" ht="15" customHeight="1" x14ac:dyDescent="0.25">
      <c r="A29" s="78"/>
      <c r="B29" s="79"/>
      <c r="C29" s="79"/>
      <c r="D29" s="79"/>
      <c r="E29" s="79"/>
      <c r="F29" s="79"/>
      <c r="G29" s="79"/>
      <c r="H29" s="79"/>
      <c r="M29" s="65"/>
      <c r="N29" s="65"/>
      <c r="O29" s="65"/>
      <c r="P29" s="65"/>
    </row>
    <row r="30" spans="1:16" ht="15" customHeight="1" x14ac:dyDescent="0.25">
      <c r="A30" s="78"/>
      <c r="B30" s="7"/>
      <c r="C30" s="17" t="s">
        <v>24</v>
      </c>
      <c r="D30" s="17" t="s">
        <v>32</v>
      </c>
      <c r="E30" s="17" t="s">
        <v>34</v>
      </c>
      <c r="F30" s="17" t="s">
        <v>33</v>
      </c>
      <c r="G30" s="17" t="s">
        <v>0</v>
      </c>
      <c r="M30" s="65"/>
      <c r="N30" s="65"/>
      <c r="O30" s="65"/>
      <c r="P30" s="65"/>
    </row>
    <row r="31" spans="1:16" ht="15" customHeight="1" x14ac:dyDescent="0.25">
      <c r="A31" s="15" t="s">
        <v>14</v>
      </c>
      <c r="B31" s="16" t="s">
        <v>30</v>
      </c>
      <c r="C31" s="16">
        <v>205</v>
      </c>
      <c r="D31" s="16">
        <v>37</v>
      </c>
      <c r="E31" s="16">
        <v>49</v>
      </c>
      <c r="F31" s="16">
        <v>2</v>
      </c>
      <c r="G31" s="16">
        <v>293</v>
      </c>
      <c r="M31" s="65"/>
      <c r="N31" s="65"/>
      <c r="O31" s="65"/>
      <c r="P31" s="65"/>
    </row>
    <row r="32" spans="1:16" ht="15" customHeight="1" x14ac:dyDescent="0.25">
      <c r="A32" s="15"/>
      <c r="B32" s="22" t="s">
        <v>29</v>
      </c>
      <c r="C32" s="25">
        <v>69.97</v>
      </c>
      <c r="D32" s="25">
        <v>12.63</v>
      </c>
      <c r="E32" s="25">
        <v>16.72</v>
      </c>
      <c r="F32" s="25">
        <v>0.68</v>
      </c>
      <c r="G32" s="34">
        <v>100</v>
      </c>
      <c r="M32" s="65"/>
      <c r="N32" s="65"/>
      <c r="O32" s="65"/>
      <c r="P32" s="65"/>
    </row>
    <row r="33" spans="1:7" x14ac:dyDescent="0.25">
      <c r="A33" s="15" t="s">
        <v>46</v>
      </c>
      <c r="B33" s="22" t="s">
        <v>30</v>
      </c>
      <c r="C33" s="22">
        <v>371</v>
      </c>
      <c r="D33" s="22">
        <v>315</v>
      </c>
      <c r="E33" s="22">
        <v>162</v>
      </c>
      <c r="F33" s="22">
        <v>18</v>
      </c>
      <c r="G33" s="22">
        <v>866</v>
      </c>
    </row>
    <row r="34" spans="1:7" x14ac:dyDescent="0.25">
      <c r="A34" s="15"/>
      <c r="B34" s="22" t="s">
        <v>29</v>
      </c>
      <c r="C34" s="25">
        <v>42.84</v>
      </c>
      <c r="D34" s="25">
        <v>36.369999999999997</v>
      </c>
      <c r="E34" s="25">
        <v>18.71</v>
      </c>
      <c r="F34" s="25">
        <v>2.08</v>
      </c>
      <c r="G34" s="34">
        <v>100</v>
      </c>
    </row>
    <row r="35" spans="1:7" x14ac:dyDescent="0.25">
      <c r="A35" s="15" t="s">
        <v>50</v>
      </c>
      <c r="B35" s="22" t="s">
        <v>30</v>
      </c>
      <c r="C35" s="22">
        <v>377</v>
      </c>
      <c r="D35" s="22">
        <v>225</v>
      </c>
      <c r="E35" s="22">
        <v>92</v>
      </c>
      <c r="F35" s="22">
        <v>10</v>
      </c>
      <c r="G35" s="22">
        <v>704</v>
      </c>
    </row>
    <row r="36" spans="1:7" x14ac:dyDescent="0.25">
      <c r="A36" s="15"/>
      <c r="B36" s="22" t="s">
        <v>29</v>
      </c>
      <c r="C36" s="25">
        <v>53.55</v>
      </c>
      <c r="D36" s="25">
        <v>31.96</v>
      </c>
      <c r="E36" s="25">
        <v>13.07</v>
      </c>
      <c r="F36" s="25">
        <v>1.42</v>
      </c>
      <c r="G36" s="34">
        <v>100</v>
      </c>
    </row>
    <row r="37" spans="1:7" x14ac:dyDescent="0.25">
      <c r="A37" s="15" t="s">
        <v>17</v>
      </c>
      <c r="B37" s="22" t="s">
        <v>30</v>
      </c>
      <c r="C37" s="22">
        <v>409</v>
      </c>
      <c r="D37" s="22">
        <v>163</v>
      </c>
      <c r="E37" s="22">
        <v>83</v>
      </c>
      <c r="F37" s="22">
        <v>10</v>
      </c>
      <c r="G37" s="22">
        <v>665</v>
      </c>
    </row>
    <row r="38" spans="1:7" x14ac:dyDescent="0.25">
      <c r="A38" s="15"/>
      <c r="B38" s="22" t="s">
        <v>29</v>
      </c>
      <c r="C38" s="25">
        <v>61.5</v>
      </c>
      <c r="D38" s="25">
        <v>24.51</v>
      </c>
      <c r="E38" s="25">
        <v>12.48</v>
      </c>
      <c r="F38" s="25">
        <v>1.5</v>
      </c>
      <c r="G38" s="34">
        <v>100</v>
      </c>
    </row>
    <row r="39" spans="1:7" x14ac:dyDescent="0.25">
      <c r="A39" s="15" t="s">
        <v>47</v>
      </c>
      <c r="B39" s="22" t="s">
        <v>30</v>
      </c>
      <c r="C39" s="22">
        <v>400</v>
      </c>
      <c r="D39" s="22">
        <v>124</v>
      </c>
      <c r="E39" s="22">
        <v>60</v>
      </c>
      <c r="F39" s="22">
        <v>13</v>
      </c>
      <c r="G39" s="22">
        <v>597</v>
      </c>
    </row>
    <row r="40" spans="1:7" x14ac:dyDescent="0.25">
      <c r="A40" s="15"/>
      <c r="B40" s="22" t="s">
        <v>29</v>
      </c>
      <c r="C40" s="25">
        <v>67</v>
      </c>
      <c r="D40" s="25">
        <v>20.77</v>
      </c>
      <c r="E40" s="25">
        <v>10.050000000000001</v>
      </c>
      <c r="F40" s="25">
        <v>2.1800000000000002</v>
      </c>
      <c r="G40" s="34">
        <v>100</v>
      </c>
    </row>
    <row r="41" spans="1:7" x14ac:dyDescent="0.25">
      <c r="A41" s="15" t="s">
        <v>48</v>
      </c>
      <c r="B41" s="22" t="s">
        <v>30</v>
      </c>
      <c r="C41" s="22">
        <v>294</v>
      </c>
      <c r="D41" s="22">
        <v>81</v>
      </c>
      <c r="E41" s="22">
        <v>53</v>
      </c>
      <c r="F41" s="22">
        <v>10</v>
      </c>
      <c r="G41" s="22">
        <v>438</v>
      </c>
    </row>
    <row r="42" spans="1:7" x14ac:dyDescent="0.25">
      <c r="A42" s="15"/>
      <c r="B42" s="22" t="s">
        <v>29</v>
      </c>
      <c r="C42" s="25">
        <v>67.12</v>
      </c>
      <c r="D42" s="25">
        <v>18.489999999999998</v>
      </c>
      <c r="E42" s="25">
        <v>12.1</v>
      </c>
      <c r="F42" s="25">
        <v>2.2799999999999998</v>
      </c>
      <c r="G42" s="34">
        <v>100</v>
      </c>
    </row>
    <row r="43" spans="1:7" x14ac:dyDescent="0.25">
      <c r="A43" s="15" t="s">
        <v>49</v>
      </c>
      <c r="B43" s="22" t="s">
        <v>30</v>
      </c>
      <c r="C43" s="22">
        <v>269</v>
      </c>
      <c r="D43" s="22">
        <v>41</v>
      </c>
      <c r="E43" s="22">
        <v>54</v>
      </c>
      <c r="F43" s="22">
        <v>5</v>
      </c>
      <c r="G43" s="22">
        <v>369</v>
      </c>
    </row>
    <row r="44" spans="1:7" x14ac:dyDescent="0.25">
      <c r="A44" s="15"/>
      <c r="B44" s="22" t="s">
        <v>29</v>
      </c>
      <c r="C44" s="25">
        <v>72.900000000000006</v>
      </c>
      <c r="D44" s="25">
        <v>11.11</v>
      </c>
      <c r="E44" s="25">
        <v>14.63</v>
      </c>
      <c r="F44" s="25">
        <v>1.36</v>
      </c>
      <c r="G44" s="34">
        <v>100</v>
      </c>
    </row>
    <row r="45" spans="1:7" x14ac:dyDescent="0.25">
      <c r="A45" s="15" t="s">
        <v>51</v>
      </c>
      <c r="B45" s="22" t="s">
        <v>30</v>
      </c>
      <c r="C45" s="22">
        <v>233</v>
      </c>
      <c r="D45" s="22">
        <v>21</v>
      </c>
      <c r="E45" s="22">
        <v>67</v>
      </c>
      <c r="F45" s="22">
        <v>6</v>
      </c>
      <c r="G45" s="22">
        <v>327</v>
      </c>
    </row>
    <row r="46" spans="1:7" x14ac:dyDescent="0.25">
      <c r="A46" s="15"/>
      <c r="B46" s="22" t="s">
        <v>29</v>
      </c>
      <c r="C46" s="25">
        <v>71.25</v>
      </c>
      <c r="D46" s="25">
        <v>6.42</v>
      </c>
      <c r="E46" s="25">
        <v>20.49</v>
      </c>
      <c r="F46" s="25">
        <v>1.83</v>
      </c>
      <c r="G46" s="34">
        <v>100</v>
      </c>
    </row>
    <row r="47" spans="1:7" x14ac:dyDescent="0.25">
      <c r="A47" s="15" t="s">
        <v>52</v>
      </c>
      <c r="B47" s="22" t="s">
        <v>30</v>
      </c>
      <c r="C47" s="22">
        <v>188</v>
      </c>
      <c r="D47" s="22">
        <v>8</v>
      </c>
      <c r="E47" s="22">
        <v>80</v>
      </c>
      <c r="F47" s="22">
        <v>5</v>
      </c>
      <c r="G47" s="22">
        <v>281</v>
      </c>
    </row>
    <row r="48" spans="1:7" x14ac:dyDescent="0.25">
      <c r="A48" s="15"/>
      <c r="B48" s="22" t="s">
        <v>29</v>
      </c>
      <c r="C48" s="25">
        <v>66.900000000000006</v>
      </c>
      <c r="D48" s="25">
        <v>2.85</v>
      </c>
      <c r="E48" s="25">
        <v>28.47</v>
      </c>
      <c r="F48" s="25">
        <v>1.78</v>
      </c>
      <c r="G48" s="34">
        <v>100</v>
      </c>
    </row>
    <row r="49" spans="1:8" x14ac:dyDescent="0.25">
      <c r="A49" s="15" t="s">
        <v>0</v>
      </c>
      <c r="B49" s="22" t="s">
        <v>30</v>
      </c>
      <c r="C49" s="22">
        <v>2746</v>
      </c>
      <c r="D49" s="22">
        <v>1015</v>
      </c>
      <c r="E49" s="22">
        <v>700</v>
      </c>
      <c r="F49" s="22">
        <v>79</v>
      </c>
      <c r="G49" s="22">
        <v>4540</v>
      </c>
    </row>
    <row r="50" spans="1:8" x14ac:dyDescent="0.25">
      <c r="A50" s="15"/>
      <c r="B50" s="17" t="s">
        <v>29</v>
      </c>
      <c r="C50" s="21">
        <v>60.48</v>
      </c>
      <c r="D50" s="21">
        <v>22.36</v>
      </c>
      <c r="E50" s="21">
        <v>15.42</v>
      </c>
      <c r="F50" s="21">
        <v>1.74</v>
      </c>
      <c r="G50" s="35">
        <v>100</v>
      </c>
    </row>
    <row r="54" spans="1:8" x14ac:dyDescent="0.25">
      <c r="A54" s="3" t="s">
        <v>6</v>
      </c>
    </row>
    <row r="55" spans="1:8" x14ac:dyDescent="0.25">
      <c r="A55" s="78" t="s">
        <v>65</v>
      </c>
      <c r="B55" s="79" t="s">
        <v>39</v>
      </c>
      <c r="C55" s="79"/>
      <c r="D55" s="79"/>
      <c r="E55" s="79"/>
      <c r="F55" s="79"/>
      <c r="G55" s="79"/>
      <c r="H55" s="79"/>
    </row>
    <row r="56" spans="1:8" x14ac:dyDescent="0.25">
      <c r="A56" s="78"/>
      <c r="B56" s="79"/>
      <c r="C56" s="79"/>
      <c r="D56" s="79"/>
      <c r="E56" s="79"/>
      <c r="F56" s="79"/>
      <c r="G56" s="79"/>
      <c r="H56" s="79"/>
    </row>
    <row r="57" spans="1:8" x14ac:dyDescent="0.25">
      <c r="A57" s="78"/>
      <c r="B57" s="7"/>
      <c r="C57" s="17" t="s">
        <v>24</v>
      </c>
      <c r="D57" s="17" t="s">
        <v>32</v>
      </c>
      <c r="E57" s="17" t="s">
        <v>34</v>
      </c>
      <c r="F57" s="17" t="s">
        <v>33</v>
      </c>
      <c r="G57" s="17" t="s">
        <v>0</v>
      </c>
    </row>
    <row r="58" spans="1:8" x14ac:dyDescent="0.25">
      <c r="A58" s="15" t="s">
        <v>14</v>
      </c>
      <c r="B58" s="16" t="s">
        <v>30</v>
      </c>
      <c r="C58" s="16">
        <v>243</v>
      </c>
      <c r="D58" s="16">
        <v>40</v>
      </c>
      <c r="E58" s="16">
        <v>39</v>
      </c>
      <c r="F58" s="16">
        <v>10</v>
      </c>
      <c r="G58" s="16">
        <v>332</v>
      </c>
    </row>
    <row r="59" spans="1:8" x14ac:dyDescent="0.25">
      <c r="A59" s="15"/>
      <c r="B59" s="22" t="s">
        <v>29</v>
      </c>
      <c r="C59" s="25">
        <v>73.19</v>
      </c>
      <c r="D59" s="25">
        <v>12.05</v>
      </c>
      <c r="E59" s="25">
        <v>11.75</v>
      </c>
      <c r="F59" s="25">
        <v>3.01</v>
      </c>
      <c r="G59" s="34">
        <v>100</v>
      </c>
    </row>
    <row r="60" spans="1:8" x14ac:dyDescent="0.25">
      <c r="A60" s="15" t="s">
        <v>46</v>
      </c>
      <c r="B60" s="22" t="s">
        <v>30</v>
      </c>
      <c r="C60" s="22">
        <v>265</v>
      </c>
      <c r="D60" s="22">
        <v>149</v>
      </c>
      <c r="E60" s="22">
        <v>69</v>
      </c>
      <c r="F60" s="22">
        <v>27</v>
      </c>
      <c r="G60" s="22">
        <v>510</v>
      </c>
    </row>
    <row r="61" spans="1:8" x14ac:dyDescent="0.25">
      <c r="A61" s="15"/>
      <c r="B61" s="22" t="s">
        <v>29</v>
      </c>
      <c r="C61" s="25">
        <v>51.96</v>
      </c>
      <c r="D61" s="25">
        <v>29.22</v>
      </c>
      <c r="E61" s="25">
        <v>13.53</v>
      </c>
      <c r="F61" s="25">
        <v>5.29</v>
      </c>
      <c r="G61" s="34">
        <v>100</v>
      </c>
    </row>
    <row r="62" spans="1:8" x14ac:dyDescent="0.25">
      <c r="A62" s="15" t="s">
        <v>50</v>
      </c>
      <c r="B62" s="22" t="s">
        <v>30</v>
      </c>
      <c r="C62" s="22">
        <v>117</v>
      </c>
      <c r="D62" s="22">
        <v>96</v>
      </c>
      <c r="E62" s="22">
        <v>37</v>
      </c>
      <c r="F62" s="22">
        <v>11</v>
      </c>
      <c r="G62" s="22">
        <v>261</v>
      </c>
    </row>
    <row r="63" spans="1:8" x14ac:dyDescent="0.25">
      <c r="A63" s="15"/>
      <c r="B63" s="22" t="s">
        <v>29</v>
      </c>
      <c r="C63" s="25">
        <v>44.83</v>
      </c>
      <c r="D63" s="25">
        <v>36.78</v>
      </c>
      <c r="E63" s="25">
        <v>14.18</v>
      </c>
      <c r="F63" s="25">
        <v>4.21</v>
      </c>
      <c r="G63" s="34">
        <v>100</v>
      </c>
    </row>
    <row r="64" spans="1:8" x14ac:dyDescent="0.25">
      <c r="A64" s="15" t="s">
        <v>17</v>
      </c>
      <c r="B64" s="22" t="s">
        <v>30</v>
      </c>
      <c r="C64" s="22">
        <v>97</v>
      </c>
      <c r="D64" s="22">
        <v>124</v>
      </c>
      <c r="E64" s="22">
        <v>32</v>
      </c>
      <c r="F64" s="22">
        <v>9</v>
      </c>
      <c r="G64" s="22">
        <v>262</v>
      </c>
    </row>
    <row r="65" spans="1:7" x14ac:dyDescent="0.25">
      <c r="A65" s="15"/>
      <c r="B65" s="22" t="s">
        <v>29</v>
      </c>
      <c r="C65" s="25">
        <v>37.020000000000003</v>
      </c>
      <c r="D65" s="25">
        <v>47.33</v>
      </c>
      <c r="E65" s="25">
        <v>12.21</v>
      </c>
      <c r="F65" s="25">
        <v>3.44</v>
      </c>
      <c r="G65" s="34">
        <v>100</v>
      </c>
    </row>
    <row r="66" spans="1:7" x14ac:dyDescent="0.25">
      <c r="A66" s="15" t="s">
        <v>47</v>
      </c>
      <c r="B66" s="22" t="s">
        <v>30</v>
      </c>
      <c r="C66" s="22">
        <v>88</v>
      </c>
      <c r="D66" s="22">
        <v>94</v>
      </c>
      <c r="E66" s="22">
        <v>40</v>
      </c>
      <c r="F66" s="22">
        <v>7</v>
      </c>
      <c r="G66" s="22">
        <v>229</v>
      </c>
    </row>
    <row r="67" spans="1:7" x14ac:dyDescent="0.25">
      <c r="A67" s="15"/>
      <c r="B67" s="22" t="s">
        <v>29</v>
      </c>
      <c r="C67" s="25">
        <v>38.43</v>
      </c>
      <c r="D67" s="25">
        <v>41.05</v>
      </c>
      <c r="E67" s="25">
        <v>17.47</v>
      </c>
      <c r="F67" s="25">
        <v>3.06</v>
      </c>
      <c r="G67" s="34">
        <v>100</v>
      </c>
    </row>
    <row r="68" spans="1:7" x14ac:dyDescent="0.25">
      <c r="A68" s="15" t="s">
        <v>48</v>
      </c>
      <c r="B68" s="22" t="s">
        <v>30</v>
      </c>
      <c r="C68" s="22">
        <v>123</v>
      </c>
      <c r="D68" s="22">
        <v>61</v>
      </c>
      <c r="E68" s="22">
        <v>40</v>
      </c>
      <c r="F68" s="22">
        <v>7</v>
      </c>
      <c r="G68" s="22">
        <v>231</v>
      </c>
    </row>
    <row r="69" spans="1:7" x14ac:dyDescent="0.25">
      <c r="A69" s="15"/>
      <c r="B69" s="22" t="s">
        <v>29</v>
      </c>
      <c r="C69" s="25">
        <v>53.25</v>
      </c>
      <c r="D69" s="25">
        <v>26.41</v>
      </c>
      <c r="E69" s="25">
        <v>17.32</v>
      </c>
      <c r="F69" s="25">
        <v>3.03</v>
      </c>
      <c r="G69" s="34">
        <v>100</v>
      </c>
    </row>
    <row r="70" spans="1:7" x14ac:dyDescent="0.25">
      <c r="A70" s="15" t="s">
        <v>49</v>
      </c>
      <c r="B70" s="22" t="s">
        <v>30</v>
      </c>
      <c r="C70" s="22">
        <v>187</v>
      </c>
      <c r="D70" s="22">
        <v>58</v>
      </c>
      <c r="E70" s="22">
        <v>56</v>
      </c>
      <c r="F70" s="22">
        <v>10</v>
      </c>
      <c r="G70" s="22">
        <v>311</v>
      </c>
    </row>
    <row r="71" spans="1:7" x14ac:dyDescent="0.25">
      <c r="A71" s="15"/>
      <c r="B71" s="22" t="s">
        <v>29</v>
      </c>
      <c r="C71" s="25">
        <v>60.13</v>
      </c>
      <c r="D71" s="25">
        <v>18.649999999999999</v>
      </c>
      <c r="E71" s="25">
        <v>18.010000000000002</v>
      </c>
      <c r="F71" s="25">
        <v>3.22</v>
      </c>
      <c r="G71" s="34">
        <v>100</v>
      </c>
    </row>
    <row r="72" spans="1:7" x14ac:dyDescent="0.25">
      <c r="A72" s="15" t="s">
        <v>51</v>
      </c>
      <c r="B72" s="22" t="s">
        <v>30</v>
      </c>
      <c r="C72" s="22">
        <v>151</v>
      </c>
      <c r="D72" s="22">
        <v>29</v>
      </c>
      <c r="E72" s="22">
        <v>58</v>
      </c>
      <c r="F72" s="22">
        <v>6</v>
      </c>
      <c r="G72" s="22">
        <v>244</v>
      </c>
    </row>
    <row r="73" spans="1:7" x14ac:dyDescent="0.25">
      <c r="A73" s="15"/>
      <c r="B73" s="22" t="s">
        <v>29</v>
      </c>
      <c r="C73" s="25">
        <v>61.89</v>
      </c>
      <c r="D73" s="25">
        <v>11.89</v>
      </c>
      <c r="E73" s="25">
        <v>23.77</v>
      </c>
      <c r="F73" s="25">
        <v>2.46</v>
      </c>
      <c r="G73" s="34">
        <v>100</v>
      </c>
    </row>
    <row r="74" spans="1:7" x14ac:dyDescent="0.25">
      <c r="A74" s="15" t="s">
        <v>52</v>
      </c>
      <c r="B74" s="22" t="s">
        <v>30</v>
      </c>
      <c r="C74" s="22">
        <v>140</v>
      </c>
      <c r="D74" s="22">
        <v>15</v>
      </c>
      <c r="E74" s="22">
        <v>33</v>
      </c>
      <c r="F74" s="22">
        <v>4</v>
      </c>
      <c r="G74" s="22">
        <v>192</v>
      </c>
    </row>
    <row r="75" spans="1:7" x14ac:dyDescent="0.25">
      <c r="A75" s="15"/>
      <c r="B75" s="22" t="s">
        <v>29</v>
      </c>
      <c r="C75" s="25">
        <v>72.92</v>
      </c>
      <c r="D75" s="25">
        <v>7.81</v>
      </c>
      <c r="E75" s="25">
        <v>17.190000000000001</v>
      </c>
      <c r="F75" s="25">
        <v>2.08</v>
      </c>
      <c r="G75" s="34">
        <v>100</v>
      </c>
    </row>
    <row r="76" spans="1:7" x14ac:dyDescent="0.25">
      <c r="A76" s="15" t="s">
        <v>0</v>
      </c>
      <c r="B76" s="22" t="s">
        <v>30</v>
      </c>
      <c r="C76" s="22">
        <v>1411</v>
      </c>
      <c r="D76" s="22">
        <v>666</v>
      </c>
      <c r="E76" s="22">
        <v>404</v>
      </c>
      <c r="F76" s="22">
        <v>91</v>
      </c>
      <c r="G76" s="22">
        <v>2572</v>
      </c>
    </row>
    <row r="77" spans="1:7" x14ac:dyDescent="0.25">
      <c r="A77" s="15"/>
      <c r="B77" s="17" t="s">
        <v>29</v>
      </c>
      <c r="C77" s="21">
        <v>54.86</v>
      </c>
      <c r="D77" s="21">
        <v>25.89</v>
      </c>
      <c r="E77" s="21">
        <v>15.71</v>
      </c>
      <c r="F77" s="21">
        <v>3.54</v>
      </c>
      <c r="G77" s="35">
        <v>100</v>
      </c>
    </row>
  </sheetData>
  <mergeCells count="7">
    <mergeCell ref="A55:A57"/>
    <mergeCell ref="B55:H56"/>
    <mergeCell ref="K1:O3"/>
    <mergeCell ref="A1:A2"/>
    <mergeCell ref="B1:H2"/>
    <mergeCell ref="A28:A30"/>
    <mergeCell ref="B28:H2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57"/>
  <sheetViews>
    <sheetView topLeftCell="A52" workbookViewId="0">
      <selection activeCell="N4" sqref="N4:R6"/>
    </sheetView>
  </sheetViews>
  <sheetFormatPr defaultRowHeight="15" x14ac:dyDescent="0.25"/>
  <cols>
    <col min="1" max="1" width="11.42578125" bestFit="1" customWidth="1"/>
    <col min="11" max="11" width="10.28515625" bestFit="1" customWidth="1"/>
  </cols>
  <sheetData>
    <row r="1" spans="1:28" ht="15" customHeight="1" x14ac:dyDescent="0.25">
      <c r="A1" s="78" t="s">
        <v>53</v>
      </c>
      <c r="B1" s="79" t="s">
        <v>54</v>
      </c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28" x14ac:dyDescent="0.25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N2" s="29" t="s">
        <v>63</v>
      </c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x14ac:dyDescent="0.25">
      <c r="A3" s="78"/>
      <c r="B3" s="7"/>
      <c r="C3" s="7" t="s">
        <v>14</v>
      </c>
      <c r="D3" s="7" t="s">
        <v>46</v>
      </c>
      <c r="E3" s="7" t="s">
        <v>50</v>
      </c>
      <c r="F3" s="7" t="s">
        <v>17</v>
      </c>
      <c r="G3" s="7" t="s">
        <v>47</v>
      </c>
      <c r="H3" s="7" t="s">
        <v>48</v>
      </c>
      <c r="I3" s="7" t="s">
        <v>49</v>
      </c>
      <c r="J3" s="7" t="s">
        <v>51</v>
      </c>
      <c r="K3" s="7" t="s">
        <v>52</v>
      </c>
      <c r="L3" s="24" t="s">
        <v>0</v>
      </c>
    </row>
    <row r="4" spans="1:28" x14ac:dyDescent="0.25">
      <c r="A4" s="15" t="s">
        <v>27</v>
      </c>
      <c r="B4" s="16" t="s">
        <v>30</v>
      </c>
      <c r="C4" s="15">
        <v>140</v>
      </c>
      <c r="D4" s="15">
        <v>542</v>
      </c>
      <c r="E4" s="15">
        <v>424</v>
      </c>
      <c r="F4" s="15">
        <v>412</v>
      </c>
      <c r="G4" s="15">
        <v>324</v>
      </c>
      <c r="H4" s="15">
        <v>257</v>
      </c>
      <c r="I4" s="15">
        <v>244</v>
      </c>
      <c r="J4" s="15">
        <v>180</v>
      </c>
      <c r="K4" s="15">
        <v>130</v>
      </c>
      <c r="L4" s="15">
        <v>2653</v>
      </c>
      <c r="N4" s="76" t="s">
        <v>83</v>
      </c>
      <c r="O4" s="76"/>
      <c r="P4" s="76"/>
      <c r="Q4" s="76"/>
      <c r="R4" s="76"/>
    </row>
    <row r="5" spans="1:28" x14ac:dyDescent="0.25">
      <c r="A5" s="15"/>
      <c r="B5" s="22" t="s">
        <v>29</v>
      </c>
      <c r="C5" s="10">
        <v>5.28</v>
      </c>
      <c r="D5" s="10">
        <v>20.43</v>
      </c>
      <c r="E5" s="10">
        <v>15.98</v>
      </c>
      <c r="F5" s="10">
        <v>15.53</v>
      </c>
      <c r="G5" s="10">
        <v>12.21</v>
      </c>
      <c r="H5" s="10">
        <v>9.69</v>
      </c>
      <c r="I5" s="10">
        <v>9.1999999999999993</v>
      </c>
      <c r="J5" s="10">
        <v>6.78</v>
      </c>
      <c r="K5" s="10">
        <v>4.9000000000000004</v>
      </c>
      <c r="L5" s="9">
        <v>100</v>
      </c>
      <c r="N5" s="76"/>
      <c r="O5" s="76"/>
      <c r="P5" s="76"/>
      <c r="Q5" s="76"/>
      <c r="R5" s="76"/>
    </row>
    <row r="6" spans="1:28" x14ac:dyDescent="0.25">
      <c r="A6" s="15" t="s">
        <v>57</v>
      </c>
      <c r="B6" s="22" t="s">
        <v>30</v>
      </c>
      <c r="C6" s="9">
        <v>270</v>
      </c>
      <c r="D6" s="9">
        <v>197</v>
      </c>
      <c r="E6" s="9">
        <v>58</v>
      </c>
      <c r="F6" s="9">
        <v>46</v>
      </c>
      <c r="G6" s="9">
        <v>70</v>
      </c>
      <c r="H6" s="9">
        <v>126</v>
      </c>
      <c r="I6" s="9">
        <v>218</v>
      </c>
      <c r="J6" s="9">
        <v>257</v>
      </c>
      <c r="K6" s="9">
        <v>266</v>
      </c>
      <c r="L6" s="9">
        <v>1508</v>
      </c>
      <c r="N6" s="76"/>
      <c r="O6" s="76"/>
      <c r="P6" s="76"/>
      <c r="Q6" s="76"/>
      <c r="R6" s="76"/>
    </row>
    <row r="7" spans="1:28" x14ac:dyDescent="0.25">
      <c r="A7" s="15"/>
      <c r="B7" s="22" t="s">
        <v>29</v>
      </c>
      <c r="C7" s="10">
        <v>17.899999999999999</v>
      </c>
      <c r="D7" s="10">
        <v>13.06</v>
      </c>
      <c r="E7" s="10">
        <v>3.85</v>
      </c>
      <c r="F7" s="10">
        <v>3.05</v>
      </c>
      <c r="G7" s="10">
        <v>4.6399999999999997</v>
      </c>
      <c r="H7" s="10">
        <v>8.36</v>
      </c>
      <c r="I7" s="10">
        <v>14.46</v>
      </c>
      <c r="J7" s="10">
        <v>17.04</v>
      </c>
      <c r="K7" s="10">
        <v>17.64</v>
      </c>
      <c r="L7" s="9">
        <v>100</v>
      </c>
    </row>
    <row r="8" spans="1:28" x14ac:dyDescent="0.25">
      <c r="A8" s="15" t="s">
        <v>40</v>
      </c>
      <c r="B8" s="22" t="s">
        <v>30</v>
      </c>
      <c r="C8" s="9">
        <v>16</v>
      </c>
      <c r="D8" s="9">
        <v>333</v>
      </c>
      <c r="E8" s="9">
        <v>338</v>
      </c>
      <c r="F8" s="9">
        <v>315</v>
      </c>
      <c r="G8" s="9">
        <v>255</v>
      </c>
      <c r="H8" s="9">
        <v>124</v>
      </c>
      <c r="I8" s="9">
        <v>46</v>
      </c>
      <c r="J8" s="9">
        <v>29</v>
      </c>
      <c r="K8" s="9">
        <v>13</v>
      </c>
      <c r="L8" s="9">
        <v>1469</v>
      </c>
    </row>
    <row r="9" spans="1:28" x14ac:dyDescent="0.25">
      <c r="A9" s="15"/>
      <c r="B9" s="22" t="s">
        <v>29</v>
      </c>
      <c r="C9" s="10">
        <v>1.0900000000000001</v>
      </c>
      <c r="D9" s="10">
        <v>22.67</v>
      </c>
      <c r="E9" s="10">
        <v>23.01</v>
      </c>
      <c r="F9" s="10">
        <v>21.44</v>
      </c>
      <c r="G9" s="10">
        <v>17.36</v>
      </c>
      <c r="H9" s="10">
        <v>8.44</v>
      </c>
      <c r="I9" s="10">
        <v>3.13</v>
      </c>
      <c r="J9" s="10">
        <v>1.97</v>
      </c>
      <c r="K9" s="10">
        <v>0.88</v>
      </c>
      <c r="L9" s="9">
        <v>100</v>
      </c>
    </row>
    <row r="10" spans="1:28" x14ac:dyDescent="0.25">
      <c r="A10" s="15" t="s">
        <v>58</v>
      </c>
      <c r="B10" s="22" t="s">
        <v>30</v>
      </c>
      <c r="C10" s="9">
        <v>81</v>
      </c>
      <c r="D10" s="9">
        <v>517</v>
      </c>
      <c r="E10" s="9">
        <v>634</v>
      </c>
      <c r="F10" s="9">
        <v>614</v>
      </c>
      <c r="G10" s="9">
        <v>523</v>
      </c>
      <c r="H10" s="9">
        <v>311</v>
      </c>
      <c r="I10" s="9">
        <v>205</v>
      </c>
      <c r="J10" s="9">
        <v>115</v>
      </c>
      <c r="K10" s="9">
        <v>62</v>
      </c>
      <c r="L10" s="9">
        <v>3062</v>
      </c>
    </row>
    <row r="11" spans="1:28" x14ac:dyDescent="0.25">
      <c r="A11" s="15"/>
      <c r="B11" s="22" t="s">
        <v>29</v>
      </c>
      <c r="C11" s="10">
        <v>2.65</v>
      </c>
      <c r="D11" s="10">
        <v>16.88</v>
      </c>
      <c r="E11" s="10">
        <v>20.71</v>
      </c>
      <c r="F11" s="10">
        <v>20.05</v>
      </c>
      <c r="G11" s="10">
        <v>17.079999999999998</v>
      </c>
      <c r="H11" s="10">
        <v>10.16</v>
      </c>
      <c r="I11" s="10">
        <v>6.69</v>
      </c>
      <c r="J11" s="10">
        <v>3.76</v>
      </c>
      <c r="K11" s="10">
        <v>2.02</v>
      </c>
      <c r="L11" s="9">
        <v>100</v>
      </c>
    </row>
    <row r="12" spans="1:28" x14ac:dyDescent="0.25">
      <c r="A12" s="15" t="s">
        <v>44</v>
      </c>
      <c r="B12" s="22" t="s">
        <v>30</v>
      </c>
      <c r="C12" s="9">
        <v>23</v>
      </c>
      <c r="D12" s="9">
        <v>52</v>
      </c>
      <c r="E12" s="9">
        <v>46</v>
      </c>
      <c r="F12" s="9">
        <v>65</v>
      </c>
      <c r="G12" s="9">
        <v>59</v>
      </c>
      <c r="H12" s="9">
        <v>51</v>
      </c>
      <c r="I12" s="9">
        <v>52</v>
      </c>
      <c r="J12" s="9">
        <v>40</v>
      </c>
      <c r="K12" s="9">
        <v>28</v>
      </c>
      <c r="L12" s="9">
        <v>416</v>
      </c>
    </row>
    <row r="13" spans="1:28" x14ac:dyDescent="0.25">
      <c r="A13" s="15"/>
      <c r="B13" s="22" t="s">
        <v>29</v>
      </c>
      <c r="C13" s="10">
        <v>5.53</v>
      </c>
      <c r="D13" s="10">
        <v>12.5</v>
      </c>
      <c r="E13" s="10">
        <v>11.06</v>
      </c>
      <c r="F13" s="10">
        <v>15.63</v>
      </c>
      <c r="G13" s="10">
        <v>14.18</v>
      </c>
      <c r="H13" s="10">
        <v>12.26</v>
      </c>
      <c r="I13" s="10">
        <v>12.5</v>
      </c>
      <c r="J13" s="10">
        <v>9.6199999999999992</v>
      </c>
      <c r="K13" s="10">
        <v>6.73</v>
      </c>
      <c r="L13" s="9">
        <v>100</v>
      </c>
    </row>
    <row r="14" spans="1:28" x14ac:dyDescent="0.25">
      <c r="A14" s="15" t="s">
        <v>43</v>
      </c>
      <c r="B14" s="22" t="s">
        <v>30</v>
      </c>
      <c r="C14" s="9">
        <v>130</v>
      </c>
      <c r="D14" s="9">
        <v>409</v>
      </c>
      <c r="E14" s="9">
        <v>167</v>
      </c>
      <c r="F14" s="9">
        <v>82</v>
      </c>
      <c r="G14" s="9">
        <v>56</v>
      </c>
      <c r="H14" s="9">
        <v>30</v>
      </c>
      <c r="I14" s="9">
        <v>16</v>
      </c>
      <c r="J14" s="9">
        <v>6</v>
      </c>
      <c r="K14" s="9">
        <v>7</v>
      </c>
      <c r="L14" s="9">
        <v>903</v>
      </c>
    </row>
    <row r="15" spans="1:28" x14ac:dyDescent="0.25">
      <c r="A15" s="15"/>
      <c r="B15" s="22" t="s">
        <v>29</v>
      </c>
      <c r="C15" s="10">
        <v>14.4</v>
      </c>
      <c r="D15" s="10">
        <v>45.29</v>
      </c>
      <c r="E15" s="10">
        <v>18.489999999999998</v>
      </c>
      <c r="F15" s="10">
        <v>9.08</v>
      </c>
      <c r="G15" s="10">
        <v>6.2</v>
      </c>
      <c r="H15" s="10">
        <v>3.32</v>
      </c>
      <c r="I15" s="10">
        <v>1.77</v>
      </c>
      <c r="J15" s="10">
        <v>0.66</v>
      </c>
      <c r="K15" s="10">
        <v>0.78</v>
      </c>
      <c r="L15" s="9">
        <v>100</v>
      </c>
    </row>
    <row r="16" spans="1:28" x14ac:dyDescent="0.25">
      <c r="A16" s="15" t="s">
        <v>0</v>
      </c>
      <c r="B16" s="22" t="s">
        <v>30</v>
      </c>
      <c r="C16" s="9">
        <v>660</v>
      </c>
      <c r="D16" s="9">
        <v>2050</v>
      </c>
      <c r="E16" s="9">
        <v>1667</v>
      </c>
      <c r="F16" s="9">
        <v>1534</v>
      </c>
      <c r="G16" s="9">
        <v>1287</v>
      </c>
      <c r="H16" s="9">
        <v>899</v>
      </c>
      <c r="I16" s="9">
        <v>781</v>
      </c>
      <c r="J16" s="9">
        <v>627</v>
      </c>
      <c r="K16" s="9">
        <v>506</v>
      </c>
      <c r="L16" s="9">
        <v>10011</v>
      </c>
    </row>
    <row r="17" spans="1:12" x14ac:dyDescent="0.25">
      <c r="A17" s="15"/>
      <c r="B17" s="26" t="s">
        <v>29</v>
      </c>
      <c r="C17" s="28">
        <v>6.59</v>
      </c>
      <c r="D17" s="28">
        <v>20.48</v>
      </c>
      <c r="E17" s="28">
        <v>16.649999999999999</v>
      </c>
      <c r="F17" s="28">
        <v>15.32</v>
      </c>
      <c r="G17" s="28">
        <v>12.86</v>
      </c>
      <c r="H17" s="28">
        <v>8.98</v>
      </c>
      <c r="I17" s="28">
        <v>7.8</v>
      </c>
      <c r="J17" s="28">
        <v>6.26</v>
      </c>
      <c r="K17" s="28">
        <v>5.05</v>
      </c>
      <c r="L17" s="27">
        <v>100</v>
      </c>
    </row>
    <row r="18" spans="1:12" x14ac:dyDescent="0.25">
      <c r="C18" s="56"/>
    </row>
    <row r="20" spans="1:12" x14ac:dyDescent="0.25">
      <c r="A20" s="3" t="s">
        <v>7</v>
      </c>
    </row>
    <row r="21" spans="1:12" x14ac:dyDescent="0.25">
      <c r="A21" s="78" t="s">
        <v>53</v>
      </c>
      <c r="B21" s="79" t="s">
        <v>55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</row>
    <row r="22" spans="1:12" x14ac:dyDescent="0.25">
      <c r="A22" s="78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</row>
    <row r="23" spans="1:12" x14ac:dyDescent="0.25">
      <c r="A23" s="78"/>
      <c r="B23" s="7"/>
      <c r="C23" s="7" t="s">
        <v>14</v>
      </c>
      <c r="D23" s="7" t="s">
        <v>46</v>
      </c>
      <c r="E23" s="7" t="s">
        <v>50</v>
      </c>
      <c r="F23" s="7" t="s">
        <v>17</v>
      </c>
      <c r="G23" s="7" t="s">
        <v>47</v>
      </c>
      <c r="H23" s="7" t="s">
        <v>48</v>
      </c>
      <c r="I23" s="7" t="s">
        <v>49</v>
      </c>
      <c r="J23" s="7" t="s">
        <v>51</v>
      </c>
      <c r="K23" s="7" t="s">
        <v>52</v>
      </c>
      <c r="L23" s="24" t="s">
        <v>0</v>
      </c>
    </row>
    <row r="24" spans="1:12" x14ac:dyDescent="0.25">
      <c r="A24" s="15" t="s">
        <v>27</v>
      </c>
      <c r="B24" s="16" t="s">
        <v>30</v>
      </c>
      <c r="C24" s="15">
        <v>71</v>
      </c>
      <c r="D24" s="15">
        <v>350</v>
      </c>
      <c r="E24" s="15">
        <v>322</v>
      </c>
      <c r="F24" s="15">
        <v>323</v>
      </c>
      <c r="G24" s="15">
        <v>246</v>
      </c>
      <c r="H24" s="15">
        <v>199</v>
      </c>
      <c r="I24" s="15">
        <v>140</v>
      </c>
      <c r="J24" s="15">
        <v>102</v>
      </c>
      <c r="K24" s="15">
        <v>79</v>
      </c>
      <c r="L24" s="15">
        <v>1832</v>
      </c>
    </row>
    <row r="25" spans="1:12" x14ac:dyDescent="0.25">
      <c r="A25" s="15"/>
      <c r="B25" s="22" t="s">
        <v>29</v>
      </c>
      <c r="C25" s="10">
        <v>3.88</v>
      </c>
      <c r="D25" s="10">
        <v>19.100000000000001</v>
      </c>
      <c r="E25" s="10">
        <v>17.579999999999998</v>
      </c>
      <c r="F25" s="10">
        <v>17.63</v>
      </c>
      <c r="G25" s="10">
        <v>13.43</v>
      </c>
      <c r="H25" s="10">
        <v>10.86</v>
      </c>
      <c r="I25" s="10">
        <v>7.64</v>
      </c>
      <c r="J25" s="10">
        <v>5.57</v>
      </c>
      <c r="K25" s="10">
        <v>4.3099999999999996</v>
      </c>
      <c r="L25" s="9">
        <v>100</v>
      </c>
    </row>
    <row r="26" spans="1:12" x14ac:dyDescent="0.25">
      <c r="A26" s="15" t="s">
        <v>57</v>
      </c>
      <c r="B26" s="22" t="s">
        <v>30</v>
      </c>
      <c r="C26" s="9">
        <v>115</v>
      </c>
      <c r="D26" s="9">
        <v>87</v>
      </c>
      <c r="E26" s="9">
        <v>25</v>
      </c>
      <c r="F26" s="9">
        <v>23</v>
      </c>
      <c r="G26" s="9">
        <v>42</v>
      </c>
      <c r="H26" s="9">
        <v>59</v>
      </c>
      <c r="I26" s="9">
        <v>109</v>
      </c>
      <c r="J26" s="9">
        <v>148</v>
      </c>
      <c r="K26" s="9">
        <v>159</v>
      </c>
      <c r="L26" s="9">
        <v>767</v>
      </c>
    </row>
    <row r="27" spans="1:12" x14ac:dyDescent="0.25">
      <c r="A27" s="15"/>
      <c r="B27" s="22" t="s">
        <v>29</v>
      </c>
      <c r="C27" s="10">
        <v>14.99</v>
      </c>
      <c r="D27" s="10">
        <v>11.34</v>
      </c>
      <c r="E27" s="10">
        <v>3.26</v>
      </c>
      <c r="F27" s="10">
        <v>3</v>
      </c>
      <c r="G27" s="10">
        <v>5.48</v>
      </c>
      <c r="H27" s="10">
        <v>7.69</v>
      </c>
      <c r="I27" s="10">
        <v>14.21</v>
      </c>
      <c r="J27" s="10">
        <v>19.3</v>
      </c>
      <c r="K27" s="10">
        <v>20.73</v>
      </c>
      <c r="L27" s="9">
        <v>100</v>
      </c>
    </row>
    <row r="28" spans="1:12" x14ac:dyDescent="0.25">
      <c r="A28" s="15" t="s">
        <v>40</v>
      </c>
      <c r="B28" s="22" t="s">
        <v>30</v>
      </c>
      <c r="C28" s="9">
        <v>8</v>
      </c>
      <c r="D28" s="9">
        <v>247</v>
      </c>
      <c r="E28" s="9">
        <v>214</v>
      </c>
      <c r="F28" s="9">
        <v>191</v>
      </c>
      <c r="G28" s="9">
        <v>172</v>
      </c>
      <c r="H28" s="9">
        <v>75</v>
      </c>
      <c r="I28" s="9">
        <v>24</v>
      </c>
      <c r="J28" s="9">
        <v>17</v>
      </c>
      <c r="K28" s="9">
        <v>2</v>
      </c>
      <c r="L28" s="9">
        <v>950</v>
      </c>
    </row>
    <row r="29" spans="1:12" x14ac:dyDescent="0.25">
      <c r="A29" s="15"/>
      <c r="B29" s="22" t="s">
        <v>29</v>
      </c>
      <c r="C29" s="10">
        <v>0.84</v>
      </c>
      <c r="D29" s="10">
        <v>26</v>
      </c>
      <c r="E29" s="10">
        <v>22.53</v>
      </c>
      <c r="F29" s="10">
        <v>20.11</v>
      </c>
      <c r="G29" s="10">
        <v>18.11</v>
      </c>
      <c r="H29" s="10">
        <v>7.89</v>
      </c>
      <c r="I29" s="10">
        <v>2.5299999999999998</v>
      </c>
      <c r="J29" s="10">
        <v>1.79</v>
      </c>
      <c r="K29" s="10">
        <v>0.21</v>
      </c>
      <c r="L29" s="9">
        <v>100</v>
      </c>
    </row>
    <row r="30" spans="1:12" x14ac:dyDescent="0.25">
      <c r="A30" s="15" t="s">
        <v>58</v>
      </c>
      <c r="B30" s="22" t="s">
        <v>30</v>
      </c>
      <c r="C30" s="9">
        <v>34</v>
      </c>
      <c r="D30" s="9">
        <v>296</v>
      </c>
      <c r="E30" s="9">
        <v>385</v>
      </c>
      <c r="F30" s="9">
        <v>363</v>
      </c>
      <c r="G30" s="9">
        <v>323</v>
      </c>
      <c r="H30" s="9">
        <v>186</v>
      </c>
      <c r="I30" s="9">
        <v>95</v>
      </c>
      <c r="J30" s="9">
        <v>55</v>
      </c>
      <c r="K30" s="9">
        <v>35</v>
      </c>
      <c r="L30" s="9">
        <v>1772</v>
      </c>
    </row>
    <row r="31" spans="1:12" x14ac:dyDescent="0.25">
      <c r="A31" s="15"/>
      <c r="B31" s="22" t="s">
        <v>29</v>
      </c>
      <c r="C31" s="10">
        <v>1.92</v>
      </c>
      <c r="D31" s="10">
        <v>16.7</v>
      </c>
      <c r="E31" s="10">
        <v>21.73</v>
      </c>
      <c r="F31" s="10">
        <v>20.49</v>
      </c>
      <c r="G31" s="10">
        <v>18.23</v>
      </c>
      <c r="H31" s="10">
        <v>10.5</v>
      </c>
      <c r="I31" s="10">
        <v>5.36</v>
      </c>
      <c r="J31" s="10">
        <v>3.1</v>
      </c>
      <c r="K31" s="10">
        <v>1.98</v>
      </c>
      <c r="L31" s="9">
        <v>100</v>
      </c>
    </row>
    <row r="32" spans="1:12" x14ac:dyDescent="0.25">
      <c r="A32" s="15" t="s">
        <v>44</v>
      </c>
      <c r="B32" s="22" t="s">
        <v>30</v>
      </c>
      <c r="C32" s="9">
        <v>7</v>
      </c>
      <c r="D32" s="9">
        <v>28</v>
      </c>
      <c r="E32" s="9">
        <v>36</v>
      </c>
      <c r="F32" s="9">
        <v>51</v>
      </c>
      <c r="G32" s="9">
        <v>49</v>
      </c>
      <c r="H32" s="9">
        <v>43</v>
      </c>
      <c r="I32" s="9">
        <v>32</v>
      </c>
      <c r="J32" s="9">
        <v>30</v>
      </c>
      <c r="K32" s="9">
        <v>18</v>
      </c>
      <c r="L32" s="9">
        <v>294</v>
      </c>
    </row>
    <row r="33" spans="1:12" x14ac:dyDescent="0.25">
      <c r="A33" s="15"/>
      <c r="B33" s="22" t="s">
        <v>29</v>
      </c>
      <c r="C33" s="10">
        <v>2.38</v>
      </c>
      <c r="D33" s="10">
        <v>9.52</v>
      </c>
      <c r="E33" s="10">
        <v>12.24</v>
      </c>
      <c r="F33" s="10">
        <v>17.350000000000001</v>
      </c>
      <c r="G33" s="10">
        <v>16.670000000000002</v>
      </c>
      <c r="H33" s="10">
        <v>14.63</v>
      </c>
      <c r="I33" s="10">
        <v>10.88</v>
      </c>
      <c r="J33" s="10">
        <v>10.199999999999999</v>
      </c>
      <c r="K33" s="10">
        <v>6.12</v>
      </c>
      <c r="L33" s="9">
        <v>100</v>
      </c>
    </row>
    <row r="34" spans="1:12" x14ac:dyDescent="0.25">
      <c r="A34" s="15" t="s">
        <v>43</v>
      </c>
      <c r="B34" s="22" t="s">
        <v>30</v>
      </c>
      <c r="C34" s="9">
        <v>79</v>
      </c>
      <c r="D34" s="9">
        <v>341</v>
      </c>
      <c r="E34" s="9">
        <v>146</v>
      </c>
      <c r="F34" s="9">
        <v>77</v>
      </c>
      <c r="G34" s="9">
        <v>45</v>
      </c>
      <c r="H34" s="9">
        <v>26</v>
      </c>
      <c r="I34" s="9">
        <v>15</v>
      </c>
      <c r="J34" s="9">
        <v>6</v>
      </c>
      <c r="K34" s="9">
        <v>7</v>
      </c>
      <c r="L34" s="9">
        <v>742</v>
      </c>
    </row>
    <row r="35" spans="1:12" x14ac:dyDescent="0.25">
      <c r="A35" s="15"/>
      <c r="B35" s="22" t="s">
        <v>29</v>
      </c>
      <c r="C35" s="10">
        <v>10.65</v>
      </c>
      <c r="D35" s="10">
        <v>45.96</v>
      </c>
      <c r="E35" s="10">
        <v>19.68</v>
      </c>
      <c r="F35" s="10">
        <v>10.38</v>
      </c>
      <c r="G35" s="10">
        <v>6.06</v>
      </c>
      <c r="H35" s="10">
        <v>3.5</v>
      </c>
      <c r="I35" s="10">
        <v>2.02</v>
      </c>
      <c r="J35" s="10">
        <v>0.81</v>
      </c>
      <c r="K35" s="10">
        <v>0.94</v>
      </c>
      <c r="L35" s="9">
        <v>100</v>
      </c>
    </row>
    <row r="36" spans="1:12" x14ac:dyDescent="0.25">
      <c r="A36" s="15" t="s">
        <v>0</v>
      </c>
      <c r="B36" s="22" t="s">
        <v>30</v>
      </c>
      <c r="C36" s="9">
        <v>314</v>
      </c>
      <c r="D36" s="9">
        <v>1349</v>
      </c>
      <c r="E36" s="9">
        <v>1128</v>
      </c>
      <c r="F36" s="9">
        <v>1028</v>
      </c>
      <c r="G36" s="9">
        <v>877</v>
      </c>
      <c r="H36" s="9">
        <v>588</v>
      </c>
      <c r="I36" s="9">
        <v>415</v>
      </c>
      <c r="J36" s="9">
        <v>358</v>
      </c>
      <c r="K36" s="9">
        <v>300</v>
      </c>
      <c r="L36" s="9">
        <v>6357</v>
      </c>
    </row>
    <row r="37" spans="1:12" x14ac:dyDescent="0.25">
      <c r="A37" s="15"/>
      <c r="B37" s="26" t="s">
        <v>29</v>
      </c>
      <c r="C37" s="28">
        <v>4.9400000000000004</v>
      </c>
      <c r="D37" s="28">
        <v>21.22</v>
      </c>
      <c r="E37" s="28">
        <v>17.739999999999998</v>
      </c>
      <c r="F37" s="28">
        <v>16.170000000000002</v>
      </c>
      <c r="G37" s="28">
        <v>13.8</v>
      </c>
      <c r="H37" s="28">
        <v>9.25</v>
      </c>
      <c r="I37" s="28">
        <v>6.53</v>
      </c>
      <c r="J37" s="28">
        <v>5.63</v>
      </c>
      <c r="K37" s="28">
        <v>4.72</v>
      </c>
      <c r="L37" s="27">
        <v>100</v>
      </c>
    </row>
    <row r="40" spans="1:12" x14ac:dyDescent="0.25">
      <c r="A40" s="3" t="s">
        <v>6</v>
      </c>
    </row>
    <row r="41" spans="1:12" x14ac:dyDescent="0.25">
      <c r="A41" s="78" t="s">
        <v>53</v>
      </c>
      <c r="B41" s="79" t="s">
        <v>56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</row>
    <row r="42" spans="1:12" x14ac:dyDescent="0.25">
      <c r="A42" s="78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</row>
    <row r="43" spans="1:12" x14ac:dyDescent="0.25">
      <c r="A43" s="78"/>
      <c r="B43" s="7"/>
      <c r="C43" s="7" t="s">
        <v>14</v>
      </c>
      <c r="D43" s="7" t="s">
        <v>46</v>
      </c>
      <c r="E43" s="7" t="s">
        <v>50</v>
      </c>
      <c r="F43" s="7" t="s">
        <v>17</v>
      </c>
      <c r="G43" s="7" t="s">
        <v>47</v>
      </c>
      <c r="H43" s="7" t="s">
        <v>48</v>
      </c>
      <c r="I43" s="7" t="s">
        <v>49</v>
      </c>
      <c r="J43" s="7" t="s">
        <v>51</v>
      </c>
      <c r="K43" s="7" t="s">
        <v>52</v>
      </c>
      <c r="L43" s="24" t="s">
        <v>0</v>
      </c>
    </row>
    <row r="44" spans="1:12" x14ac:dyDescent="0.25">
      <c r="A44" s="15" t="s">
        <v>27</v>
      </c>
      <c r="B44" s="16" t="s">
        <v>30</v>
      </c>
      <c r="C44" s="15">
        <v>69</v>
      </c>
      <c r="D44" s="15">
        <v>192</v>
      </c>
      <c r="E44" s="15">
        <v>102</v>
      </c>
      <c r="F44" s="15">
        <v>89</v>
      </c>
      <c r="G44" s="15">
        <v>78</v>
      </c>
      <c r="H44" s="15">
        <v>58</v>
      </c>
      <c r="I44" s="15">
        <v>104</v>
      </c>
      <c r="J44" s="15">
        <v>78</v>
      </c>
      <c r="K44" s="15">
        <v>51</v>
      </c>
      <c r="L44" s="15">
        <v>821</v>
      </c>
    </row>
    <row r="45" spans="1:12" x14ac:dyDescent="0.25">
      <c r="A45" s="15"/>
      <c r="B45" s="22" t="s">
        <v>29</v>
      </c>
      <c r="C45" s="10">
        <v>8.4</v>
      </c>
      <c r="D45" s="10">
        <v>23.39</v>
      </c>
      <c r="E45" s="10">
        <v>12.42</v>
      </c>
      <c r="F45" s="10">
        <v>10.84</v>
      </c>
      <c r="G45" s="10">
        <v>9.5</v>
      </c>
      <c r="H45" s="10">
        <v>7.06</v>
      </c>
      <c r="I45" s="10">
        <v>12.67</v>
      </c>
      <c r="J45" s="10">
        <v>9.5</v>
      </c>
      <c r="K45" s="10">
        <v>6.21</v>
      </c>
      <c r="L45" s="9">
        <v>100</v>
      </c>
    </row>
    <row r="46" spans="1:12" x14ac:dyDescent="0.25">
      <c r="A46" s="15" t="s">
        <v>57</v>
      </c>
      <c r="B46" s="22" t="s">
        <v>30</v>
      </c>
      <c r="C46" s="9">
        <v>155</v>
      </c>
      <c r="D46" s="9">
        <v>110</v>
      </c>
      <c r="E46" s="9">
        <v>33</v>
      </c>
      <c r="F46" s="9">
        <v>23</v>
      </c>
      <c r="G46" s="9">
        <v>28</v>
      </c>
      <c r="H46" s="9">
        <v>67</v>
      </c>
      <c r="I46" s="9">
        <v>109</v>
      </c>
      <c r="J46" s="9">
        <v>109</v>
      </c>
      <c r="K46" s="9">
        <v>107</v>
      </c>
      <c r="L46" s="9">
        <v>741</v>
      </c>
    </row>
    <row r="47" spans="1:12" x14ac:dyDescent="0.25">
      <c r="A47" s="15"/>
      <c r="B47" s="22" t="s">
        <v>29</v>
      </c>
      <c r="C47" s="10">
        <v>20.92</v>
      </c>
      <c r="D47" s="10">
        <v>14.84</v>
      </c>
      <c r="E47" s="10">
        <v>4.45</v>
      </c>
      <c r="F47" s="10">
        <v>3.1</v>
      </c>
      <c r="G47" s="10">
        <v>3.78</v>
      </c>
      <c r="H47" s="10">
        <v>9.0399999999999991</v>
      </c>
      <c r="I47" s="10">
        <v>14.71</v>
      </c>
      <c r="J47" s="10">
        <v>14.71</v>
      </c>
      <c r="K47" s="10">
        <v>14.44</v>
      </c>
      <c r="L47" s="9">
        <v>100</v>
      </c>
    </row>
    <row r="48" spans="1:12" x14ac:dyDescent="0.25">
      <c r="A48" s="15" t="s">
        <v>40</v>
      </c>
      <c r="B48" s="22" t="s">
        <v>30</v>
      </c>
      <c r="C48" s="9">
        <v>8</v>
      </c>
      <c r="D48" s="9">
        <v>86</v>
      </c>
      <c r="E48" s="9">
        <v>124</v>
      </c>
      <c r="F48" s="9">
        <v>124</v>
      </c>
      <c r="G48" s="9">
        <v>83</v>
      </c>
      <c r="H48" s="9">
        <v>49</v>
      </c>
      <c r="I48" s="9">
        <v>22</v>
      </c>
      <c r="J48" s="9">
        <v>12</v>
      </c>
      <c r="K48" s="9">
        <v>11</v>
      </c>
      <c r="L48" s="9">
        <v>519</v>
      </c>
    </row>
    <row r="49" spans="1:12" x14ac:dyDescent="0.25">
      <c r="A49" s="15"/>
      <c r="B49" s="22" t="s">
        <v>29</v>
      </c>
      <c r="C49" s="10">
        <v>1.54</v>
      </c>
      <c r="D49" s="10">
        <v>16.57</v>
      </c>
      <c r="E49" s="10">
        <v>23.89</v>
      </c>
      <c r="F49" s="10">
        <v>23.89</v>
      </c>
      <c r="G49" s="10">
        <v>15.99</v>
      </c>
      <c r="H49" s="10">
        <v>9.44</v>
      </c>
      <c r="I49" s="10">
        <v>4.24</v>
      </c>
      <c r="J49" s="10">
        <v>2.31</v>
      </c>
      <c r="K49" s="10">
        <v>2.12</v>
      </c>
      <c r="L49" s="9">
        <v>100</v>
      </c>
    </row>
    <row r="50" spans="1:12" x14ac:dyDescent="0.25">
      <c r="A50" s="15" t="s">
        <v>58</v>
      </c>
      <c r="B50" s="22" t="s">
        <v>30</v>
      </c>
      <c r="C50" s="9">
        <v>47</v>
      </c>
      <c r="D50" s="9">
        <v>221</v>
      </c>
      <c r="E50" s="9">
        <v>249</v>
      </c>
      <c r="F50" s="9">
        <v>251</v>
      </c>
      <c r="G50" s="9">
        <v>200</v>
      </c>
      <c r="H50" s="9">
        <v>125</v>
      </c>
      <c r="I50" s="9">
        <v>110</v>
      </c>
      <c r="J50" s="9">
        <v>60</v>
      </c>
      <c r="K50" s="9">
        <v>27</v>
      </c>
      <c r="L50" s="9">
        <v>1290</v>
      </c>
    </row>
    <row r="51" spans="1:12" x14ac:dyDescent="0.25">
      <c r="A51" s="15"/>
      <c r="B51" s="22" t="s">
        <v>29</v>
      </c>
      <c r="C51" s="10">
        <v>3.64</v>
      </c>
      <c r="D51" s="10">
        <v>17.13</v>
      </c>
      <c r="E51" s="10">
        <v>19.3</v>
      </c>
      <c r="F51" s="10">
        <v>19.46</v>
      </c>
      <c r="G51" s="10">
        <v>15.5</v>
      </c>
      <c r="H51" s="10">
        <v>9.69</v>
      </c>
      <c r="I51" s="10">
        <v>8.5299999999999994</v>
      </c>
      <c r="J51" s="10">
        <v>4.6500000000000004</v>
      </c>
      <c r="K51" s="10">
        <v>2.09</v>
      </c>
      <c r="L51" s="9">
        <v>100</v>
      </c>
    </row>
    <row r="52" spans="1:12" x14ac:dyDescent="0.25">
      <c r="A52" s="15" t="s">
        <v>44</v>
      </c>
      <c r="B52" s="22" t="s">
        <v>30</v>
      </c>
      <c r="C52" s="9">
        <v>16</v>
      </c>
      <c r="D52" s="9">
        <v>24</v>
      </c>
      <c r="E52" s="9">
        <v>10</v>
      </c>
      <c r="F52" s="9">
        <v>14</v>
      </c>
      <c r="G52" s="9">
        <v>10</v>
      </c>
      <c r="H52" s="9">
        <v>8</v>
      </c>
      <c r="I52" s="9">
        <v>20</v>
      </c>
      <c r="J52" s="9">
        <v>10</v>
      </c>
      <c r="K52" s="9">
        <v>10</v>
      </c>
      <c r="L52" s="9">
        <v>122</v>
      </c>
    </row>
    <row r="53" spans="1:12" x14ac:dyDescent="0.25">
      <c r="A53" s="15"/>
      <c r="B53" s="22" t="s">
        <v>29</v>
      </c>
      <c r="C53" s="10">
        <v>13.11</v>
      </c>
      <c r="D53" s="10">
        <v>19.670000000000002</v>
      </c>
      <c r="E53" s="10">
        <v>8.1999999999999993</v>
      </c>
      <c r="F53" s="10">
        <v>11.48</v>
      </c>
      <c r="G53" s="10">
        <v>8.1999999999999993</v>
      </c>
      <c r="H53" s="10">
        <v>6.56</v>
      </c>
      <c r="I53" s="10">
        <v>16.39</v>
      </c>
      <c r="J53" s="10">
        <v>8.1999999999999993</v>
      </c>
      <c r="K53" s="10">
        <v>8.1999999999999993</v>
      </c>
      <c r="L53" s="9">
        <v>100</v>
      </c>
    </row>
    <row r="54" spans="1:12" x14ac:dyDescent="0.25">
      <c r="A54" s="15" t="s">
        <v>43</v>
      </c>
      <c r="B54" s="22" t="s">
        <v>30</v>
      </c>
      <c r="C54" s="9">
        <v>51</v>
      </c>
      <c r="D54" s="9">
        <v>68</v>
      </c>
      <c r="E54" s="9">
        <v>21</v>
      </c>
      <c r="F54" s="9">
        <v>5</v>
      </c>
      <c r="G54" s="9">
        <v>11</v>
      </c>
      <c r="H54" s="9">
        <v>4</v>
      </c>
      <c r="I54" s="9">
        <v>1</v>
      </c>
      <c r="J54" s="9">
        <v>0</v>
      </c>
      <c r="K54" s="9">
        <v>0</v>
      </c>
      <c r="L54" s="9">
        <v>161</v>
      </c>
    </row>
    <row r="55" spans="1:12" x14ac:dyDescent="0.25">
      <c r="A55" s="15"/>
      <c r="B55" s="22" t="s">
        <v>29</v>
      </c>
      <c r="C55" s="10">
        <v>31.68</v>
      </c>
      <c r="D55" s="10">
        <v>42.24</v>
      </c>
      <c r="E55" s="10">
        <v>13.04</v>
      </c>
      <c r="F55" s="10">
        <v>3.11</v>
      </c>
      <c r="G55" s="10">
        <v>6.83</v>
      </c>
      <c r="H55" s="10">
        <v>2.48</v>
      </c>
      <c r="I55" s="10">
        <v>0.62</v>
      </c>
      <c r="J55" s="10">
        <v>0</v>
      </c>
      <c r="K55" s="10">
        <v>0</v>
      </c>
      <c r="L55" s="9">
        <v>100</v>
      </c>
    </row>
    <row r="56" spans="1:12" x14ac:dyDescent="0.25">
      <c r="A56" s="15" t="s">
        <v>0</v>
      </c>
      <c r="B56" s="22" t="s">
        <v>30</v>
      </c>
      <c r="C56" s="9">
        <v>346</v>
      </c>
      <c r="D56" s="9">
        <v>701</v>
      </c>
      <c r="E56" s="9">
        <v>539</v>
      </c>
      <c r="F56" s="9">
        <v>506</v>
      </c>
      <c r="G56" s="9">
        <v>410</v>
      </c>
      <c r="H56" s="9">
        <v>311</v>
      </c>
      <c r="I56" s="9">
        <v>366</v>
      </c>
      <c r="J56" s="9">
        <v>269</v>
      </c>
      <c r="K56" s="9">
        <v>206</v>
      </c>
      <c r="L56" s="9">
        <v>3654</v>
      </c>
    </row>
    <row r="57" spans="1:12" x14ac:dyDescent="0.25">
      <c r="A57" s="15"/>
      <c r="B57" s="26" t="s">
        <v>29</v>
      </c>
      <c r="C57" s="28">
        <v>9.4700000000000006</v>
      </c>
      <c r="D57" s="28">
        <v>19.18</v>
      </c>
      <c r="E57" s="28">
        <v>14.75</v>
      </c>
      <c r="F57" s="28">
        <v>13.85</v>
      </c>
      <c r="G57" s="28">
        <v>11.22</v>
      </c>
      <c r="H57" s="28">
        <v>8.51</v>
      </c>
      <c r="I57" s="28">
        <v>10.02</v>
      </c>
      <c r="J57" s="28">
        <v>7.36</v>
      </c>
      <c r="K57" s="28">
        <v>5.64</v>
      </c>
      <c r="L57" s="27">
        <v>100</v>
      </c>
    </row>
  </sheetData>
  <mergeCells count="7">
    <mergeCell ref="A41:A43"/>
    <mergeCell ref="B41:L42"/>
    <mergeCell ref="A1:A3"/>
    <mergeCell ref="B1:L2"/>
    <mergeCell ref="N4:R6"/>
    <mergeCell ref="A21:A23"/>
    <mergeCell ref="B21:L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Y52"/>
  <sheetViews>
    <sheetView zoomScale="90" zoomScaleNormal="90" workbookViewId="0">
      <selection activeCell="J22" sqref="J22"/>
    </sheetView>
  </sheetViews>
  <sheetFormatPr defaultRowHeight="15" x14ac:dyDescent="0.25"/>
  <cols>
    <col min="1" max="1" width="10.5703125" customWidth="1"/>
    <col min="2" max="2" width="5" bestFit="1" customWidth="1"/>
    <col min="3" max="9" width="14.7109375" customWidth="1"/>
  </cols>
  <sheetData>
    <row r="1" spans="1:25" ht="15" customHeight="1" x14ac:dyDescent="0.25">
      <c r="A1" s="78" t="s">
        <v>28</v>
      </c>
      <c r="B1" s="79" t="s">
        <v>73</v>
      </c>
      <c r="C1" s="79"/>
      <c r="D1" s="79"/>
      <c r="E1" s="79"/>
      <c r="F1" s="79"/>
      <c r="G1" s="79"/>
      <c r="H1" s="79"/>
      <c r="I1" s="79"/>
    </row>
    <row r="2" spans="1:25" x14ac:dyDescent="0.25">
      <c r="A2" s="78"/>
      <c r="B2" s="79"/>
      <c r="C2" s="79"/>
      <c r="D2" s="79"/>
      <c r="E2" s="79"/>
      <c r="F2" s="79"/>
      <c r="G2" s="79"/>
      <c r="H2" s="79"/>
      <c r="I2" s="79"/>
      <c r="K2" s="29" t="s">
        <v>63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spans="1:25" x14ac:dyDescent="0.25">
      <c r="A3" s="32"/>
      <c r="B3" s="15"/>
      <c r="C3" s="17" t="s">
        <v>41</v>
      </c>
      <c r="D3" s="17" t="s">
        <v>27</v>
      </c>
      <c r="E3" s="33" t="s">
        <v>57</v>
      </c>
      <c r="F3" s="17" t="s">
        <v>40</v>
      </c>
      <c r="G3" s="17" t="s">
        <v>43</v>
      </c>
      <c r="H3" s="17" t="s">
        <v>44</v>
      </c>
      <c r="I3" s="17" t="s">
        <v>0</v>
      </c>
    </row>
    <row r="4" spans="1:25" x14ac:dyDescent="0.25">
      <c r="A4" s="15" t="s">
        <v>26</v>
      </c>
      <c r="B4" s="22" t="s">
        <v>30</v>
      </c>
      <c r="C4" s="23">
        <v>1381</v>
      </c>
      <c r="D4" s="23">
        <v>1199</v>
      </c>
      <c r="E4" s="23">
        <v>394</v>
      </c>
      <c r="F4" s="23">
        <v>954</v>
      </c>
      <c r="G4" s="23">
        <v>624</v>
      </c>
      <c r="H4" s="23">
        <v>174</v>
      </c>
      <c r="I4" s="9">
        <v>4726</v>
      </c>
      <c r="K4" s="76" t="s">
        <v>83</v>
      </c>
      <c r="L4" s="76"/>
      <c r="M4" s="76"/>
      <c r="N4" s="76"/>
      <c r="O4" s="76"/>
    </row>
    <row r="5" spans="1:25" x14ac:dyDescent="0.25">
      <c r="A5" s="15"/>
      <c r="B5" s="22" t="s">
        <v>29</v>
      </c>
      <c r="C5" s="10">
        <v>29.22</v>
      </c>
      <c r="D5" s="10">
        <v>25.37</v>
      </c>
      <c r="E5" s="10">
        <v>8.34</v>
      </c>
      <c r="F5" s="10">
        <v>20.190000000000001</v>
      </c>
      <c r="G5" s="10">
        <v>13.2</v>
      </c>
      <c r="H5" s="10">
        <v>3.68</v>
      </c>
      <c r="I5" s="9">
        <v>100</v>
      </c>
      <c r="K5" s="76"/>
      <c r="L5" s="76"/>
      <c r="M5" s="76"/>
      <c r="N5" s="76"/>
      <c r="O5" s="76"/>
    </row>
    <row r="6" spans="1:25" x14ac:dyDescent="0.25">
      <c r="A6" s="15" t="s">
        <v>8</v>
      </c>
      <c r="B6" s="22" t="s">
        <v>30</v>
      </c>
      <c r="C6" s="9">
        <v>1001</v>
      </c>
      <c r="D6" s="9">
        <v>662</v>
      </c>
      <c r="E6" s="9">
        <v>564</v>
      </c>
      <c r="F6" s="9">
        <v>236</v>
      </c>
      <c r="G6" s="9">
        <v>94</v>
      </c>
      <c r="H6" s="9">
        <v>126</v>
      </c>
      <c r="I6" s="9">
        <v>2683</v>
      </c>
      <c r="K6" s="76"/>
      <c r="L6" s="76"/>
      <c r="M6" s="76"/>
      <c r="N6" s="76"/>
      <c r="O6" s="76"/>
    </row>
    <row r="7" spans="1:25" x14ac:dyDescent="0.25">
      <c r="A7" s="15"/>
      <c r="B7" s="22" t="s">
        <v>29</v>
      </c>
      <c r="C7" s="10">
        <v>37.31</v>
      </c>
      <c r="D7" s="10">
        <v>24.67</v>
      </c>
      <c r="E7" s="10">
        <v>21.02</v>
      </c>
      <c r="F7" s="10">
        <v>8.8000000000000007</v>
      </c>
      <c r="G7" s="10">
        <v>3.5</v>
      </c>
      <c r="H7" s="10">
        <v>4.7</v>
      </c>
      <c r="I7" s="9">
        <v>100</v>
      </c>
    </row>
    <row r="8" spans="1:25" x14ac:dyDescent="0.25">
      <c r="A8" s="15" t="s">
        <v>27</v>
      </c>
      <c r="B8" s="22" t="s">
        <v>30</v>
      </c>
      <c r="C8" s="9">
        <v>189</v>
      </c>
      <c r="D8" s="9">
        <v>365</v>
      </c>
      <c r="E8" s="9">
        <v>334</v>
      </c>
      <c r="F8" s="9">
        <v>76</v>
      </c>
      <c r="G8" s="9">
        <v>86</v>
      </c>
      <c r="H8" s="9">
        <v>36</v>
      </c>
      <c r="I8" s="9">
        <v>1086</v>
      </c>
    </row>
    <row r="9" spans="1:25" x14ac:dyDescent="0.25">
      <c r="A9" s="15"/>
      <c r="B9" s="22" t="s">
        <v>29</v>
      </c>
      <c r="C9" s="10">
        <v>17.399999999999999</v>
      </c>
      <c r="D9" s="10">
        <v>33.61</v>
      </c>
      <c r="E9" s="10">
        <v>30.76</v>
      </c>
      <c r="F9" s="10">
        <v>7</v>
      </c>
      <c r="G9" s="10">
        <v>7.92</v>
      </c>
      <c r="H9" s="10">
        <v>3.31</v>
      </c>
      <c r="I9" s="9">
        <v>100</v>
      </c>
    </row>
    <row r="10" spans="1:25" x14ac:dyDescent="0.25">
      <c r="A10" s="15" t="s">
        <v>10</v>
      </c>
      <c r="B10" s="22" t="s">
        <v>30</v>
      </c>
      <c r="C10" s="9">
        <v>256</v>
      </c>
      <c r="D10" s="9">
        <v>250</v>
      </c>
      <c r="E10" s="9">
        <v>151</v>
      </c>
      <c r="F10" s="9">
        <v>111</v>
      </c>
      <c r="G10" s="9">
        <v>46</v>
      </c>
      <c r="H10" s="9">
        <v>49</v>
      </c>
      <c r="I10" s="9">
        <v>863</v>
      </c>
    </row>
    <row r="11" spans="1:25" x14ac:dyDescent="0.25">
      <c r="A11" s="15"/>
      <c r="B11" s="22" t="s">
        <v>29</v>
      </c>
      <c r="C11" s="10">
        <v>29.66</v>
      </c>
      <c r="D11" s="10">
        <v>28.97</v>
      </c>
      <c r="E11" s="10">
        <v>17.5</v>
      </c>
      <c r="F11" s="10">
        <v>12.86</v>
      </c>
      <c r="G11" s="10">
        <v>5.33</v>
      </c>
      <c r="H11" s="10">
        <v>5.68</v>
      </c>
      <c r="I11" s="9">
        <v>100</v>
      </c>
    </row>
    <row r="12" spans="1:25" x14ac:dyDescent="0.25">
      <c r="A12" s="15" t="s">
        <v>1</v>
      </c>
      <c r="B12" s="22" t="s">
        <v>30</v>
      </c>
      <c r="C12" s="9">
        <v>241</v>
      </c>
      <c r="D12" s="9">
        <v>183</v>
      </c>
      <c r="E12" s="9">
        <v>65</v>
      </c>
      <c r="F12" s="9">
        <v>94</v>
      </c>
      <c r="G12" s="9">
        <v>55</v>
      </c>
      <c r="H12" s="9">
        <v>31</v>
      </c>
      <c r="I12" s="9">
        <v>669</v>
      </c>
    </row>
    <row r="13" spans="1:25" x14ac:dyDescent="0.25">
      <c r="A13" s="15"/>
      <c r="B13" s="22" t="s">
        <v>29</v>
      </c>
      <c r="C13" s="10">
        <v>36.020000000000003</v>
      </c>
      <c r="D13" s="10">
        <v>27.35</v>
      </c>
      <c r="E13" s="10">
        <v>9.7200000000000006</v>
      </c>
      <c r="F13" s="10">
        <v>14.05</v>
      </c>
      <c r="G13" s="10">
        <v>8.2200000000000006</v>
      </c>
      <c r="H13" s="10">
        <v>4.63</v>
      </c>
      <c r="I13" s="9">
        <v>100</v>
      </c>
    </row>
    <row r="14" spans="1:25" x14ac:dyDescent="0.25">
      <c r="A14" s="15" t="s">
        <v>0</v>
      </c>
      <c r="B14" s="22" t="s">
        <v>30</v>
      </c>
      <c r="C14" s="9">
        <v>3068</v>
      </c>
      <c r="D14" s="9">
        <v>2659</v>
      </c>
      <c r="E14" s="9">
        <v>1508</v>
      </c>
      <c r="F14" s="9">
        <v>1471</v>
      </c>
      <c r="G14" s="9">
        <v>905</v>
      </c>
      <c r="H14" s="9">
        <v>416</v>
      </c>
      <c r="I14" s="9">
        <v>10027</v>
      </c>
    </row>
    <row r="15" spans="1:25" x14ac:dyDescent="0.25">
      <c r="A15" s="15"/>
      <c r="B15" s="17" t="s">
        <v>29</v>
      </c>
      <c r="C15" s="8">
        <v>30.6</v>
      </c>
      <c r="D15" s="8">
        <v>26.52</v>
      </c>
      <c r="E15" s="8">
        <v>15.04</v>
      </c>
      <c r="F15" s="8">
        <v>14.67</v>
      </c>
      <c r="G15" s="8">
        <v>9.0299999999999994</v>
      </c>
      <c r="H15" s="8">
        <v>4.1500000000000004</v>
      </c>
      <c r="I15" s="7">
        <v>100</v>
      </c>
    </row>
    <row r="18" spans="1:9" x14ac:dyDescent="0.25">
      <c r="A18" s="3" t="s">
        <v>37</v>
      </c>
    </row>
    <row r="19" spans="1:9" x14ac:dyDescent="0.25">
      <c r="A19" s="78" t="s">
        <v>28</v>
      </c>
      <c r="B19" s="79" t="s">
        <v>74</v>
      </c>
      <c r="C19" s="79"/>
      <c r="D19" s="79"/>
      <c r="E19" s="79"/>
      <c r="F19" s="79"/>
      <c r="G19" s="79"/>
      <c r="H19" s="79"/>
      <c r="I19" s="79"/>
    </row>
    <row r="20" spans="1:9" x14ac:dyDescent="0.25">
      <c r="A20" s="78"/>
      <c r="B20" s="79"/>
      <c r="C20" s="79"/>
      <c r="D20" s="79"/>
      <c r="E20" s="79"/>
      <c r="F20" s="79"/>
      <c r="G20" s="79"/>
      <c r="H20" s="79"/>
      <c r="I20" s="79"/>
    </row>
    <row r="21" spans="1:9" x14ac:dyDescent="0.25">
      <c r="A21" s="78"/>
      <c r="B21" s="15"/>
      <c r="C21" s="17" t="s">
        <v>41</v>
      </c>
      <c r="D21" s="17" t="s">
        <v>27</v>
      </c>
      <c r="E21" s="17" t="s">
        <v>42</v>
      </c>
      <c r="F21" s="17" t="s">
        <v>40</v>
      </c>
      <c r="G21" s="17" t="s">
        <v>43</v>
      </c>
      <c r="H21" s="17" t="s">
        <v>44</v>
      </c>
      <c r="I21" s="17" t="s">
        <v>0</v>
      </c>
    </row>
    <row r="22" spans="1:9" x14ac:dyDescent="0.25">
      <c r="A22" s="15" t="s">
        <v>26</v>
      </c>
      <c r="B22" s="22" t="s">
        <v>30</v>
      </c>
      <c r="C22" s="23">
        <v>837</v>
      </c>
      <c r="D22" s="23">
        <v>807</v>
      </c>
      <c r="E22" s="23">
        <v>645</v>
      </c>
      <c r="F22" s="23">
        <v>184</v>
      </c>
      <c r="G22" s="23">
        <v>513</v>
      </c>
      <c r="H22" s="23">
        <v>115</v>
      </c>
      <c r="I22" s="9">
        <v>3101</v>
      </c>
    </row>
    <row r="23" spans="1:9" x14ac:dyDescent="0.25">
      <c r="A23" s="15"/>
      <c r="B23" s="22" t="s">
        <v>29</v>
      </c>
      <c r="C23" s="10">
        <v>26.99</v>
      </c>
      <c r="D23" s="10">
        <v>26.02</v>
      </c>
      <c r="E23" s="10">
        <v>20.8</v>
      </c>
      <c r="F23" s="10">
        <v>5.93</v>
      </c>
      <c r="G23" s="10">
        <v>16.54</v>
      </c>
      <c r="H23" s="10">
        <v>3.71</v>
      </c>
      <c r="I23" s="9">
        <v>100</v>
      </c>
    </row>
    <row r="24" spans="1:9" x14ac:dyDescent="0.25">
      <c r="A24" s="15" t="s">
        <v>8</v>
      </c>
      <c r="B24" s="22" t="s">
        <v>30</v>
      </c>
      <c r="C24" s="9">
        <v>455</v>
      </c>
      <c r="D24" s="9">
        <v>577</v>
      </c>
      <c r="E24" s="9">
        <v>132</v>
      </c>
      <c r="F24" s="9">
        <v>295</v>
      </c>
      <c r="G24" s="9">
        <v>80</v>
      </c>
      <c r="H24" s="9">
        <v>94</v>
      </c>
      <c r="I24" s="9">
        <v>1633</v>
      </c>
    </row>
    <row r="25" spans="1:9" x14ac:dyDescent="0.25">
      <c r="A25" s="15"/>
      <c r="B25" s="22" t="s">
        <v>29</v>
      </c>
      <c r="C25" s="10">
        <v>27.86</v>
      </c>
      <c r="D25" s="10">
        <v>35.33</v>
      </c>
      <c r="E25" s="10">
        <v>8.08</v>
      </c>
      <c r="F25" s="10">
        <v>18.059999999999999</v>
      </c>
      <c r="G25" s="10">
        <v>4.9000000000000004</v>
      </c>
      <c r="H25" s="10">
        <v>5.76</v>
      </c>
      <c r="I25" s="9">
        <v>100</v>
      </c>
    </row>
    <row r="26" spans="1:9" x14ac:dyDescent="0.25">
      <c r="A26" s="15" t="s">
        <v>27</v>
      </c>
      <c r="B26" s="22" t="s">
        <v>30</v>
      </c>
      <c r="C26" s="9">
        <v>235</v>
      </c>
      <c r="D26" s="9">
        <v>101</v>
      </c>
      <c r="E26" s="9">
        <v>44</v>
      </c>
      <c r="F26" s="9">
        <v>193</v>
      </c>
      <c r="G26" s="9">
        <v>70</v>
      </c>
      <c r="H26" s="9">
        <v>22</v>
      </c>
      <c r="I26" s="9">
        <v>665</v>
      </c>
    </row>
    <row r="27" spans="1:9" x14ac:dyDescent="0.25">
      <c r="A27" s="15"/>
      <c r="B27" s="22" t="s">
        <v>29</v>
      </c>
      <c r="C27" s="10">
        <v>35.340000000000003</v>
      </c>
      <c r="D27" s="10">
        <v>15.19</v>
      </c>
      <c r="E27" s="10">
        <v>6.62</v>
      </c>
      <c r="F27" s="10">
        <v>29.02</v>
      </c>
      <c r="G27" s="10">
        <v>10.53</v>
      </c>
      <c r="H27" s="10">
        <v>3.31</v>
      </c>
      <c r="I27" s="9">
        <v>100</v>
      </c>
    </row>
    <row r="28" spans="1:9" x14ac:dyDescent="0.25">
      <c r="A28" s="15" t="s">
        <v>10</v>
      </c>
      <c r="B28" s="22" t="s">
        <v>30</v>
      </c>
      <c r="C28" s="9">
        <v>173</v>
      </c>
      <c r="D28" s="9">
        <v>142</v>
      </c>
      <c r="E28" s="9">
        <v>67</v>
      </c>
      <c r="F28" s="9">
        <v>66</v>
      </c>
      <c r="G28" s="9">
        <v>38</v>
      </c>
      <c r="H28" s="9">
        <v>37</v>
      </c>
      <c r="I28" s="9">
        <v>523</v>
      </c>
    </row>
    <row r="29" spans="1:9" x14ac:dyDescent="0.25">
      <c r="A29" s="15"/>
      <c r="B29" s="22" t="s">
        <v>29</v>
      </c>
      <c r="C29" s="10">
        <v>33.08</v>
      </c>
      <c r="D29" s="10">
        <v>27.15</v>
      </c>
      <c r="E29" s="10">
        <v>12.81</v>
      </c>
      <c r="F29" s="10">
        <v>12.62</v>
      </c>
      <c r="G29" s="10">
        <v>7.27</v>
      </c>
      <c r="H29" s="10">
        <v>7.07</v>
      </c>
      <c r="I29" s="9">
        <v>100</v>
      </c>
    </row>
    <row r="30" spans="1:9" x14ac:dyDescent="0.25">
      <c r="A30" s="15" t="s">
        <v>1</v>
      </c>
      <c r="B30" s="22" t="s">
        <v>30</v>
      </c>
      <c r="C30" s="9">
        <v>137</v>
      </c>
      <c r="D30" s="9">
        <v>150</v>
      </c>
      <c r="E30" s="9">
        <v>64</v>
      </c>
      <c r="F30" s="9">
        <v>29</v>
      </c>
      <c r="G30" s="9">
        <v>43</v>
      </c>
      <c r="H30" s="9">
        <v>26</v>
      </c>
      <c r="I30" s="9">
        <v>449</v>
      </c>
    </row>
    <row r="31" spans="1:9" x14ac:dyDescent="0.25">
      <c r="A31" s="15"/>
      <c r="B31" s="22" t="s">
        <v>29</v>
      </c>
      <c r="C31" s="10">
        <v>30.51</v>
      </c>
      <c r="D31" s="10">
        <v>33.409999999999997</v>
      </c>
      <c r="E31" s="10">
        <v>14.25</v>
      </c>
      <c r="F31" s="10">
        <v>6.46</v>
      </c>
      <c r="G31" s="10">
        <v>9.58</v>
      </c>
      <c r="H31" s="10">
        <v>5.79</v>
      </c>
      <c r="I31" s="9">
        <v>100</v>
      </c>
    </row>
    <row r="32" spans="1:9" x14ac:dyDescent="0.25">
      <c r="A32" s="15" t="s">
        <v>0</v>
      </c>
      <c r="B32" s="22" t="s">
        <v>30</v>
      </c>
      <c r="C32" s="9">
        <v>1837</v>
      </c>
      <c r="D32" s="9">
        <v>1777</v>
      </c>
      <c r="E32" s="9">
        <v>952</v>
      </c>
      <c r="F32" s="9">
        <v>767</v>
      </c>
      <c r="G32" s="9">
        <v>744</v>
      </c>
      <c r="H32" s="9">
        <v>294</v>
      </c>
      <c r="I32" s="9">
        <v>6371</v>
      </c>
    </row>
    <row r="33" spans="1:9" x14ac:dyDescent="0.25">
      <c r="A33" s="15"/>
      <c r="B33" s="17" t="s">
        <v>29</v>
      </c>
      <c r="C33" s="8">
        <v>28.83</v>
      </c>
      <c r="D33" s="8">
        <v>27.89</v>
      </c>
      <c r="E33" s="8">
        <v>14.94</v>
      </c>
      <c r="F33" s="8">
        <v>12.04</v>
      </c>
      <c r="G33" s="8">
        <v>11.68</v>
      </c>
      <c r="H33" s="8">
        <v>4.6100000000000003</v>
      </c>
      <c r="I33" s="7">
        <v>100</v>
      </c>
    </row>
    <row r="37" spans="1:9" x14ac:dyDescent="0.25">
      <c r="A37" s="3" t="s">
        <v>45</v>
      </c>
    </row>
    <row r="38" spans="1:9" ht="15" customHeight="1" x14ac:dyDescent="0.25">
      <c r="A38" s="78" t="s">
        <v>28</v>
      </c>
      <c r="B38" s="79" t="s">
        <v>75</v>
      </c>
      <c r="C38" s="79"/>
      <c r="D38" s="79"/>
      <c r="E38" s="79"/>
      <c r="F38" s="79"/>
      <c r="G38" s="79"/>
      <c r="H38" s="79"/>
      <c r="I38" s="79"/>
    </row>
    <row r="39" spans="1:9" x14ac:dyDescent="0.25">
      <c r="A39" s="78"/>
      <c r="B39" s="79"/>
      <c r="C39" s="79"/>
      <c r="D39" s="79"/>
      <c r="E39" s="79"/>
      <c r="F39" s="79"/>
      <c r="G39" s="79"/>
      <c r="H39" s="79"/>
      <c r="I39" s="79"/>
    </row>
    <row r="40" spans="1:9" x14ac:dyDescent="0.25">
      <c r="A40" s="78"/>
      <c r="B40" s="15"/>
      <c r="C40" s="17" t="s">
        <v>41</v>
      </c>
      <c r="D40" s="17" t="s">
        <v>27</v>
      </c>
      <c r="E40" s="17" t="s">
        <v>42</v>
      </c>
      <c r="F40" s="17" t="s">
        <v>40</v>
      </c>
      <c r="G40" s="17" t="s">
        <v>43</v>
      </c>
      <c r="H40" s="17" t="s">
        <v>44</v>
      </c>
      <c r="I40" s="17" t="s">
        <v>0</v>
      </c>
    </row>
    <row r="41" spans="1:9" x14ac:dyDescent="0.25">
      <c r="A41" s="15" t="s">
        <v>26</v>
      </c>
      <c r="B41" s="22" t="s">
        <v>30</v>
      </c>
      <c r="C41" s="23">
        <v>574</v>
      </c>
      <c r="D41" s="23">
        <v>362</v>
      </c>
      <c r="E41" s="23">
        <v>210</v>
      </c>
      <c r="F41" s="23">
        <v>309</v>
      </c>
      <c r="G41" s="23">
        <v>111</v>
      </c>
      <c r="H41" s="23">
        <v>59</v>
      </c>
      <c r="I41" s="9">
        <v>1625</v>
      </c>
    </row>
    <row r="42" spans="1:9" x14ac:dyDescent="0.25">
      <c r="A42" s="15"/>
      <c r="B42" s="22" t="s">
        <v>29</v>
      </c>
      <c r="C42" s="10">
        <v>35.32</v>
      </c>
      <c r="D42" s="10">
        <v>22.28</v>
      </c>
      <c r="E42" s="10">
        <v>12.92</v>
      </c>
      <c r="F42" s="10">
        <v>19.02</v>
      </c>
      <c r="G42" s="10">
        <v>6.83</v>
      </c>
      <c r="H42" s="10">
        <v>3.63</v>
      </c>
      <c r="I42" s="9">
        <v>100</v>
      </c>
    </row>
    <row r="43" spans="1:9" x14ac:dyDescent="0.25">
      <c r="A43" s="15" t="s">
        <v>8</v>
      </c>
      <c r="B43" s="22" t="s">
        <v>30</v>
      </c>
      <c r="C43" s="9">
        <v>424</v>
      </c>
      <c r="D43" s="9">
        <v>207</v>
      </c>
      <c r="E43" s="9">
        <v>269</v>
      </c>
      <c r="F43" s="9">
        <v>104</v>
      </c>
      <c r="G43" s="9">
        <v>14</v>
      </c>
      <c r="H43" s="9">
        <v>32</v>
      </c>
      <c r="I43" s="9">
        <v>1050</v>
      </c>
    </row>
    <row r="44" spans="1:9" x14ac:dyDescent="0.25">
      <c r="A44" s="15"/>
      <c r="B44" s="22" t="s">
        <v>29</v>
      </c>
      <c r="C44" s="10">
        <v>40.380000000000003</v>
      </c>
      <c r="D44" s="10">
        <v>19.71</v>
      </c>
      <c r="E44" s="10">
        <v>25.62</v>
      </c>
      <c r="F44" s="10">
        <v>9.9</v>
      </c>
      <c r="G44" s="10">
        <v>1.33</v>
      </c>
      <c r="H44" s="10">
        <v>3.05</v>
      </c>
      <c r="I44" s="9">
        <v>100</v>
      </c>
    </row>
    <row r="45" spans="1:9" x14ac:dyDescent="0.25">
      <c r="A45" s="15" t="s">
        <v>27</v>
      </c>
      <c r="B45" s="22" t="s">
        <v>30</v>
      </c>
      <c r="C45" s="9">
        <v>88</v>
      </c>
      <c r="D45" s="9">
        <v>130</v>
      </c>
      <c r="E45" s="9">
        <v>141</v>
      </c>
      <c r="F45" s="9">
        <v>32</v>
      </c>
      <c r="G45" s="9">
        <v>16</v>
      </c>
      <c r="H45" s="9">
        <v>14</v>
      </c>
      <c r="I45" s="9">
        <v>421</v>
      </c>
    </row>
    <row r="46" spans="1:9" x14ac:dyDescent="0.25">
      <c r="A46" s="15"/>
      <c r="B46" s="22" t="s">
        <v>29</v>
      </c>
      <c r="C46" s="10">
        <v>20.9</v>
      </c>
      <c r="D46" s="10">
        <v>30.88</v>
      </c>
      <c r="E46" s="10">
        <v>33.49</v>
      </c>
      <c r="F46" s="10">
        <v>7.6</v>
      </c>
      <c r="G46" s="10">
        <v>3.8</v>
      </c>
      <c r="H46" s="10">
        <v>3.33</v>
      </c>
      <c r="I46" s="9">
        <v>100</v>
      </c>
    </row>
    <row r="47" spans="1:9" x14ac:dyDescent="0.25">
      <c r="A47" s="15" t="s">
        <v>10</v>
      </c>
      <c r="B47" s="22" t="s">
        <v>30</v>
      </c>
      <c r="C47" s="9">
        <v>114</v>
      </c>
      <c r="D47" s="9">
        <v>77</v>
      </c>
      <c r="E47" s="9">
        <v>85</v>
      </c>
      <c r="F47" s="9">
        <v>44</v>
      </c>
      <c r="G47" s="9">
        <v>8</v>
      </c>
      <c r="H47" s="9">
        <v>12</v>
      </c>
      <c r="I47" s="9">
        <v>340</v>
      </c>
    </row>
    <row r="48" spans="1:9" x14ac:dyDescent="0.25">
      <c r="A48" s="15"/>
      <c r="B48" s="22" t="s">
        <v>29</v>
      </c>
      <c r="C48" s="10">
        <v>33.53</v>
      </c>
      <c r="D48" s="10">
        <v>22.65</v>
      </c>
      <c r="E48" s="10">
        <v>25</v>
      </c>
      <c r="F48" s="10">
        <v>12.94</v>
      </c>
      <c r="G48" s="10">
        <v>2.35</v>
      </c>
      <c r="H48" s="10">
        <v>3.53</v>
      </c>
      <c r="I48" s="9">
        <v>100</v>
      </c>
    </row>
    <row r="49" spans="1:9" x14ac:dyDescent="0.25">
      <c r="A49" s="15" t="s">
        <v>1</v>
      </c>
      <c r="B49" s="22" t="s">
        <v>30</v>
      </c>
      <c r="C49" s="9">
        <v>91</v>
      </c>
      <c r="D49" s="9">
        <v>46</v>
      </c>
      <c r="E49" s="9">
        <v>36</v>
      </c>
      <c r="F49" s="9">
        <v>30</v>
      </c>
      <c r="G49" s="9">
        <v>12</v>
      </c>
      <c r="H49" s="9">
        <v>5</v>
      </c>
      <c r="I49" s="9">
        <v>220</v>
      </c>
    </row>
    <row r="50" spans="1:9" x14ac:dyDescent="0.25">
      <c r="A50" s="15"/>
      <c r="B50" s="22" t="s">
        <v>29</v>
      </c>
      <c r="C50" s="10">
        <v>41.36</v>
      </c>
      <c r="D50" s="10">
        <v>20.91</v>
      </c>
      <c r="E50" s="10">
        <v>16.36</v>
      </c>
      <c r="F50" s="10">
        <v>13.64</v>
      </c>
      <c r="G50" s="10">
        <v>5.45</v>
      </c>
      <c r="H50" s="10">
        <v>2.27</v>
      </c>
      <c r="I50" s="9">
        <v>100</v>
      </c>
    </row>
    <row r="51" spans="1:9" x14ac:dyDescent="0.25">
      <c r="A51" s="15" t="s">
        <v>0</v>
      </c>
      <c r="B51" s="22" t="s">
        <v>30</v>
      </c>
      <c r="C51" s="9">
        <v>1291</v>
      </c>
      <c r="D51" s="9">
        <v>822</v>
      </c>
      <c r="E51" s="9">
        <v>741</v>
      </c>
      <c r="F51" s="9">
        <v>519</v>
      </c>
      <c r="G51" s="9">
        <v>161</v>
      </c>
      <c r="H51" s="9">
        <v>122</v>
      </c>
      <c r="I51" s="9">
        <v>3656</v>
      </c>
    </row>
    <row r="52" spans="1:9" x14ac:dyDescent="0.25">
      <c r="A52" s="15"/>
      <c r="B52" s="17" t="s">
        <v>29</v>
      </c>
      <c r="C52" s="8">
        <v>35.31</v>
      </c>
      <c r="D52" s="8">
        <v>22.48</v>
      </c>
      <c r="E52" s="8">
        <v>20.27</v>
      </c>
      <c r="F52" s="8">
        <v>14.2</v>
      </c>
      <c r="G52" s="8">
        <v>4.4000000000000004</v>
      </c>
      <c r="H52" s="8">
        <v>3.34</v>
      </c>
      <c r="I52" s="7">
        <v>100</v>
      </c>
    </row>
  </sheetData>
  <mergeCells count="7">
    <mergeCell ref="K4:O6"/>
    <mergeCell ref="B1:I2"/>
    <mergeCell ref="A19:A21"/>
    <mergeCell ref="B19:I20"/>
    <mergeCell ref="A38:A40"/>
    <mergeCell ref="B38:I39"/>
    <mergeCell ref="A1:A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52"/>
  <sheetViews>
    <sheetView topLeftCell="D1" workbookViewId="0">
      <selection activeCell="O19" sqref="O19"/>
    </sheetView>
  </sheetViews>
  <sheetFormatPr defaultRowHeight="15" x14ac:dyDescent="0.25"/>
  <cols>
    <col min="1" max="1" width="12.5703125" customWidth="1"/>
    <col min="3" max="3" width="14.42578125" bestFit="1" customWidth="1"/>
    <col min="4" max="4" width="13.85546875" bestFit="1" customWidth="1"/>
    <col min="5" max="5" width="14.28515625" bestFit="1" customWidth="1"/>
    <col min="6" max="6" width="12.28515625" customWidth="1"/>
    <col min="7" max="7" width="14" customWidth="1"/>
    <col min="8" max="8" width="19.5703125" bestFit="1" customWidth="1"/>
  </cols>
  <sheetData>
    <row r="1" spans="1:14" ht="15" customHeight="1" x14ac:dyDescent="0.25">
      <c r="A1" s="78" t="s">
        <v>28</v>
      </c>
      <c r="B1" s="79" t="s">
        <v>73</v>
      </c>
      <c r="C1" s="79"/>
      <c r="D1" s="79"/>
      <c r="E1" s="79"/>
      <c r="F1" s="79"/>
      <c r="G1" s="79"/>
      <c r="H1" s="79"/>
    </row>
    <row r="2" spans="1:14" x14ac:dyDescent="0.25">
      <c r="A2" s="78"/>
      <c r="B2" s="79"/>
      <c r="C2" s="79"/>
      <c r="D2" s="79"/>
      <c r="E2" s="79"/>
      <c r="F2" s="79"/>
      <c r="G2" s="79"/>
      <c r="H2" s="79"/>
      <c r="K2" s="81" t="s">
        <v>79</v>
      </c>
      <c r="L2" s="81"/>
      <c r="M2" s="81"/>
      <c r="N2" s="81"/>
    </row>
    <row r="3" spans="1:14" ht="17.25" x14ac:dyDescent="0.25">
      <c r="A3" s="32"/>
      <c r="B3" s="7"/>
      <c r="C3" s="39" t="s">
        <v>69</v>
      </c>
      <c r="D3" s="39" t="s">
        <v>71</v>
      </c>
      <c r="E3" s="24" t="s">
        <v>68</v>
      </c>
      <c r="F3" s="24" t="s">
        <v>67</v>
      </c>
      <c r="G3" s="39" t="s">
        <v>70</v>
      </c>
      <c r="H3" s="39" t="s">
        <v>72</v>
      </c>
      <c r="K3" s="81"/>
      <c r="L3" s="81"/>
      <c r="M3" s="81"/>
      <c r="N3" s="81"/>
    </row>
    <row r="4" spans="1:14" x14ac:dyDescent="0.25">
      <c r="A4" s="15" t="s">
        <v>26</v>
      </c>
      <c r="B4" s="18" t="s">
        <v>30</v>
      </c>
      <c r="C4" s="42">
        <v>2383</v>
      </c>
      <c r="D4" s="42">
        <v>1026</v>
      </c>
      <c r="E4" s="45">
        <v>645</v>
      </c>
      <c r="F4" s="18">
        <v>1296</v>
      </c>
      <c r="G4" s="37">
        <v>1074</v>
      </c>
      <c r="H4" s="18">
        <v>5030</v>
      </c>
      <c r="K4" s="81"/>
      <c r="L4" s="81"/>
      <c r="M4" s="81"/>
      <c r="N4" s="81"/>
    </row>
    <row r="5" spans="1:14" x14ac:dyDescent="0.25">
      <c r="A5" s="15"/>
      <c r="B5" s="22" t="s">
        <v>29</v>
      </c>
      <c r="C5" s="25">
        <v>47.375745526838962</v>
      </c>
      <c r="D5" s="41">
        <v>20.397614314115309</v>
      </c>
      <c r="E5" s="36">
        <v>12.823061630218687</v>
      </c>
      <c r="F5" s="25">
        <v>25.76540755467197</v>
      </c>
      <c r="G5" s="25">
        <v>21.351888667992046</v>
      </c>
      <c r="H5" s="22"/>
    </row>
    <row r="6" spans="1:14" ht="15" customHeight="1" x14ac:dyDescent="0.25">
      <c r="A6" s="15" t="s">
        <v>8</v>
      </c>
      <c r="B6" s="22" t="s">
        <v>30</v>
      </c>
      <c r="C6" s="34">
        <v>1522</v>
      </c>
      <c r="D6" s="34">
        <v>683</v>
      </c>
      <c r="E6" s="43">
        <v>798</v>
      </c>
      <c r="F6" s="22">
        <v>375</v>
      </c>
      <c r="G6" s="34">
        <v>172</v>
      </c>
      <c r="H6" s="22">
        <v>2785</v>
      </c>
      <c r="K6" s="76" t="s">
        <v>83</v>
      </c>
      <c r="L6" s="76"/>
      <c r="M6" s="76"/>
      <c r="N6" s="76"/>
    </row>
    <row r="7" spans="1:14" ht="15" customHeight="1" x14ac:dyDescent="0.25">
      <c r="A7" s="15"/>
      <c r="B7" s="22" t="s">
        <v>29</v>
      </c>
      <c r="C7" s="25">
        <v>54.649910233393172</v>
      </c>
      <c r="D7" s="41">
        <v>24.524236983842009</v>
      </c>
      <c r="E7" s="36">
        <v>28.653500897666067</v>
      </c>
      <c r="F7" s="25">
        <v>13.464991023339318</v>
      </c>
      <c r="G7" s="25">
        <v>6.1759425493716336</v>
      </c>
      <c r="H7" s="22"/>
      <c r="K7" s="76"/>
      <c r="L7" s="76"/>
      <c r="M7" s="76"/>
      <c r="N7" s="76"/>
    </row>
    <row r="8" spans="1:14" ht="15" customHeight="1" x14ac:dyDescent="0.25">
      <c r="A8" s="15" t="s">
        <v>27</v>
      </c>
      <c r="B8" s="22" t="s">
        <v>30</v>
      </c>
      <c r="C8" s="43">
        <v>486</v>
      </c>
      <c r="D8" s="34">
        <v>339</v>
      </c>
      <c r="E8" s="43">
        <v>508</v>
      </c>
      <c r="F8" s="22">
        <v>139</v>
      </c>
      <c r="G8" s="34">
        <v>170</v>
      </c>
      <c r="H8" s="22">
        <v>1136</v>
      </c>
      <c r="K8" s="76"/>
      <c r="L8" s="76"/>
      <c r="M8" s="76"/>
      <c r="N8" s="76"/>
    </row>
    <row r="9" spans="1:14" x14ac:dyDescent="0.25">
      <c r="A9" s="15"/>
      <c r="B9" s="22" t="s">
        <v>29</v>
      </c>
      <c r="C9" s="25">
        <v>42.781690140845072</v>
      </c>
      <c r="D9" s="41">
        <v>29.841549295774648</v>
      </c>
      <c r="E9" s="36">
        <v>44.718309859154928</v>
      </c>
      <c r="F9" s="25">
        <v>12.235915492957746</v>
      </c>
      <c r="G9" s="25">
        <v>14.964788732394366</v>
      </c>
      <c r="H9" s="22"/>
    </row>
    <row r="10" spans="1:14" x14ac:dyDescent="0.25">
      <c r="A10" s="15" t="s">
        <v>10</v>
      </c>
      <c r="B10" s="22" t="s">
        <v>30</v>
      </c>
      <c r="C10" s="43">
        <v>456</v>
      </c>
      <c r="D10" s="34">
        <v>270</v>
      </c>
      <c r="E10" s="43">
        <v>223</v>
      </c>
      <c r="F10" s="22">
        <v>173</v>
      </c>
      <c r="G10" s="34">
        <v>98</v>
      </c>
      <c r="H10" s="22">
        <v>898</v>
      </c>
    </row>
    <row r="11" spans="1:14" x14ac:dyDescent="0.25">
      <c r="A11" s="15"/>
      <c r="B11" s="22" t="s">
        <v>29</v>
      </c>
      <c r="C11" s="25">
        <v>50.779510022271715</v>
      </c>
      <c r="D11" s="41">
        <v>30.066815144766146</v>
      </c>
      <c r="E11" s="36">
        <v>24.832962138084632</v>
      </c>
      <c r="F11" s="25">
        <v>19.265033407572382</v>
      </c>
      <c r="G11" s="25">
        <v>10.913140311804009</v>
      </c>
      <c r="H11" s="22"/>
    </row>
    <row r="12" spans="1:14" x14ac:dyDescent="0.25">
      <c r="A12" s="15" t="s">
        <v>1</v>
      </c>
      <c r="B12" s="22" t="s">
        <v>30</v>
      </c>
      <c r="C12" s="34">
        <v>393</v>
      </c>
      <c r="D12" s="34">
        <v>182</v>
      </c>
      <c r="E12" s="43">
        <v>90</v>
      </c>
      <c r="F12" s="22">
        <v>125</v>
      </c>
      <c r="G12" s="34">
        <v>110</v>
      </c>
      <c r="H12" s="22">
        <v>689</v>
      </c>
    </row>
    <row r="13" spans="1:14" x14ac:dyDescent="0.25">
      <c r="A13" s="15"/>
      <c r="B13" s="22" t="s">
        <v>29</v>
      </c>
      <c r="C13" s="25">
        <v>57.039187227866471</v>
      </c>
      <c r="D13" s="41">
        <v>26.415094339622641</v>
      </c>
      <c r="E13" s="36">
        <v>13.062409288824384</v>
      </c>
      <c r="F13" s="25">
        <v>18.142235123367197</v>
      </c>
      <c r="G13" s="25">
        <v>15.965166908563136</v>
      </c>
      <c r="H13" s="22"/>
    </row>
    <row r="14" spans="1:14" x14ac:dyDescent="0.25">
      <c r="A14" s="15" t="s">
        <v>0</v>
      </c>
      <c r="B14" s="22" t="s">
        <v>30</v>
      </c>
      <c r="C14" s="44">
        <v>5240</v>
      </c>
      <c r="D14" s="34">
        <v>2500</v>
      </c>
      <c r="E14" s="46">
        <v>2264</v>
      </c>
      <c r="F14" s="22">
        <v>2108</v>
      </c>
      <c r="G14" s="34">
        <v>1624</v>
      </c>
      <c r="H14" s="22">
        <v>10538</v>
      </c>
    </row>
    <row r="15" spans="1:14" x14ac:dyDescent="0.25">
      <c r="A15" s="15"/>
      <c r="B15" s="17" t="s">
        <v>29</v>
      </c>
      <c r="C15" s="48">
        <v>49.724805465932818</v>
      </c>
      <c r="D15" s="49">
        <v>23.723666729929779</v>
      </c>
      <c r="E15" s="47">
        <v>21.484152590624404</v>
      </c>
      <c r="F15" s="48">
        <v>20.00379578667679</v>
      </c>
      <c r="G15" s="48">
        <v>15.410893907762382</v>
      </c>
      <c r="H15" s="7"/>
    </row>
    <row r="18" spans="1:8" x14ac:dyDescent="0.25">
      <c r="A18" s="3" t="s">
        <v>7</v>
      </c>
    </row>
    <row r="19" spans="1:8" x14ac:dyDescent="0.25">
      <c r="A19" s="78" t="s">
        <v>28</v>
      </c>
      <c r="B19" s="79" t="s">
        <v>74</v>
      </c>
      <c r="C19" s="79"/>
      <c r="D19" s="79"/>
      <c r="E19" s="79"/>
      <c r="F19" s="79"/>
      <c r="G19" s="79"/>
      <c r="H19" s="79"/>
    </row>
    <row r="20" spans="1:8" x14ac:dyDescent="0.25">
      <c r="A20" s="78"/>
      <c r="B20" s="79"/>
      <c r="C20" s="79"/>
      <c r="D20" s="79"/>
      <c r="E20" s="79"/>
      <c r="F20" s="79"/>
      <c r="G20" s="79"/>
      <c r="H20" s="79"/>
    </row>
    <row r="21" spans="1:8" ht="17.25" x14ac:dyDescent="0.25">
      <c r="A21" s="32"/>
      <c r="B21" s="7"/>
      <c r="C21" s="39" t="s">
        <v>69</v>
      </c>
      <c r="D21" s="39" t="s">
        <v>71</v>
      </c>
      <c r="E21" s="24" t="s">
        <v>68</v>
      </c>
      <c r="F21" s="24" t="s">
        <v>67</v>
      </c>
      <c r="G21" s="39" t="s">
        <v>70</v>
      </c>
      <c r="H21" s="39" t="s">
        <v>72</v>
      </c>
    </row>
    <row r="22" spans="1:8" x14ac:dyDescent="0.25">
      <c r="A22" s="15" t="s">
        <v>26</v>
      </c>
      <c r="B22" s="18" t="s">
        <v>30</v>
      </c>
      <c r="C22" s="42">
        <v>1521</v>
      </c>
      <c r="D22" s="42">
        <v>719</v>
      </c>
      <c r="E22" s="45">
        <v>318</v>
      </c>
      <c r="F22" s="18">
        <v>864</v>
      </c>
      <c r="G22" s="37">
        <v>882</v>
      </c>
      <c r="H22" s="38">
        <v>3291</v>
      </c>
    </row>
    <row r="23" spans="1:8" x14ac:dyDescent="0.25">
      <c r="A23" s="15"/>
      <c r="B23" s="22" t="s">
        <v>29</v>
      </c>
      <c r="C23" s="25">
        <v>46.216955332725618</v>
      </c>
      <c r="D23" s="41">
        <v>21.847462777271346</v>
      </c>
      <c r="E23" s="36">
        <v>9.6627164995442119</v>
      </c>
      <c r="F23" s="25">
        <v>26.253418413855972</v>
      </c>
      <c r="G23" s="25">
        <v>26.800364630811302</v>
      </c>
      <c r="H23" s="22"/>
    </row>
    <row r="24" spans="1:8" x14ac:dyDescent="0.25">
      <c r="A24" s="15" t="s">
        <v>8</v>
      </c>
      <c r="B24" s="22" t="s">
        <v>30</v>
      </c>
      <c r="C24" s="34">
        <v>939</v>
      </c>
      <c r="D24" s="34">
        <v>486</v>
      </c>
      <c r="E24" s="43">
        <v>422</v>
      </c>
      <c r="F24" s="22">
        <v>220</v>
      </c>
      <c r="G24" s="34">
        <v>149</v>
      </c>
      <c r="H24" s="38">
        <v>1686</v>
      </c>
    </row>
    <row r="25" spans="1:8" x14ac:dyDescent="0.25">
      <c r="A25" s="15"/>
      <c r="B25" s="22" t="s">
        <v>29</v>
      </c>
      <c r="C25" s="25">
        <v>55.693950177935946</v>
      </c>
      <c r="D25" s="41">
        <v>28.825622775800714</v>
      </c>
      <c r="E25" s="36">
        <v>25.029655990510086</v>
      </c>
      <c r="F25" s="25">
        <v>13.048635824436536</v>
      </c>
      <c r="G25" s="25">
        <v>8.8374851720047456</v>
      </c>
      <c r="H25" s="22"/>
    </row>
    <row r="26" spans="1:8" x14ac:dyDescent="0.25">
      <c r="A26" s="15" t="s">
        <v>27</v>
      </c>
      <c r="B26" s="22" t="s">
        <v>30</v>
      </c>
      <c r="C26" s="43">
        <v>298</v>
      </c>
      <c r="D26" s="34">
        <v>217</v>
      </c>
      <c r="E26" s="43">
        <v>292</v>
      </c>
      <c r="F26" s="22">
        <v>82</v>
      </c>
      <c r="G26" s="34">
        <v>143</v>
      </c>
      <c r="H26" s="38">
        <v>701</v>
      </c>
    </row>
    <row r="27" spans="1:8" x14ac:dyDescent="0.25">
      <c r="A27" s="15"/>
      <c r="B27" s="22" t="s">
        <v>29</v>
      </c>
      <c r="C27" s="25">
        <v>42.510699001426531</v>
      </c>
      <c r="D27" s="41">
        <v>30.955777460770328</v>
      </c>
      <c r="E27" s="36">
        <v>41.654778887303848</v>
      </c>
      <c r="F27" s="25">
        <v>11.697574893009985</v>
      </c>
      <c r="G27" s="25">
        <v>20.399429386590583</v>
      </c>
      <c r="H27" s="22"/>
    </row>
    <row r="28" spans="1:8" x14ac:dyDescent="0.25">
      <c r="A28" s="15" t="s">
        <v>10</v>
      </c>
      <c r="B28" s="22" t="s">
        <v>30</v>
      </c>
      <c r="C28" s="43">
        <v>284</v>
      </c>
      <c r="D28" s="34">
        <v>190</v>
      </c>
      <c r="E28" s="43">
        <v>109</v>
      </c>
      <c r="F28" s="22">
        <v>105</v>
      </c>
      <c r="G28" s="34">
        <v>82</v>
      </c>
      <c r="H28" s="38">
        <v>549</v>
      </c>
    </row>
    <row r="29" spans="1:8" x14ac:dyDescent="0.25">
      <c r="A29" s="15"/>
      <c r="B29" s="22" t="s">
        <v>29</v>
      </c>
      <c r="C29" s="25">
        <v>51.730418943533692</v>
      </c>
      <c r="D29" s="41">
        <v>34.608378870673953</v>
      </c>
      <c r="E29" s="36">
        <v>19.854280510018217</v>
      </c>
      <c r="F29" s="25">
        <v>19.125683060109289</v>
      </c>
      <c r="G29" s="25">
        <v>14.93624772313297</v>
      </c>
      <c r="H29" s="22"/>
    </row>
    <row r="30" spans="1:8" x14ac:dyDescent="0.25">
      <c r="A30" s="15" t="s">
        <v>1</v>
      </c>
      <c r="B30" s="22" t="s">
        <v>30</v>
      </c>
      <c r="C30" s="34">
        <v>266</v>
      </c>
      <c r="D30" s="34">
        <v>140</v>
      </c>
      <c r="E30" s="43">
        <v>42</v>
      </c>
      <c r="F30" s="22">
        <v>85</v>
      </c>
      <c r="G30" s="34">
        <v>91</v>
      </c>
      <c r="H30" s="38">
        <v>461</v>
      </c>
    </row>
    <row r="31" spans="1:8" x14ac:dyDescent="0.25">
      <c r="A31" s="15"/>
      <c r="B31" s="22" t="s">
        <v>29</v>
      </c>
      <c r="C31" s="25">
        <v>57.700650759219087</v>
      </c>
      <c r="D31" s="41">
        <v>30.368763557483732</v>
      </c>
      <c r="E31" s="36">
        <v>9.1106290672451191</v>
      </c>
      <c r="F31" s="25">
        <v>18.43817787418655</v>
      </c>
      <c r="G31" s="25">
        <v>19.739696312364423</v>
      </c>
      <c r="H31" s="22"/>
    </row>
    <row r="32" spans="1:8" x14ac:dyDescent="0.25">
      <c r="A32" s="15" t="s">
        <v>0</v>
      </c>
      <c r="B32" s="22" t="s">
        <v>30</v>
      </c>
      <c r="C32" s="51">
        <v>3308</v>
      </c>
      <c r="D32" s="52">
        <v>1752</v>
      </c>
      <c r="E32" s="53">
        <v>1183</v>
      </c>
      <c r="F32" s="26">
        <v>1356</v>
      </c>
      <c r="G32" s="52">
        <v>1347</v>
      </c>
      <c r="H32" s="55">
        <v>6688</v>
      </c>
    </row>
    <row r="33" spans="1:8" x14ac:dyDescent="0.25">
      <c r="A33" s="15"/>
      <c r="B33" s="17" t="s">
        <v>29</v>
      </c>
      <c r="C33" s="21">
        <v>49.461722488038276</v>
      </c>
      <c r="D33" s="50">
        <v>26.19617224880383</v>
      </c>
      <c r="E33" s="40">
        <v>17.688397129186605</v>
      </c>
      <c r="F33" s="21">
        <v>20.275119617224881</v>
      </c>
      <c r="G33" s="21">
        <v>20.14055023923445</v>
      </c>
      <c r="H33" s="7"/>
    </row>
    <row r="37" spans="1:8" x14ac:dyDescent="0.25">
      <c r="A37" s="3" t="s">
        <v>6</v>
      </c>
    </row>
    <row r="38" spans="1:8" x14ac:dyDescent="0.25">
      <c r="A38" s="78" t="s">
        <v>28</v>
      </c>
      <c r="B38" s="79" t="s">
        <v>75</v>
      </c>
      <c r="C38" s="79"/>
      <c r="D38" s="79"/>
      <c r="E38" s="79"/>
      <c r="F38" s="79"/>
      <c r="G38" s="79"/>
      <c r="H38" s="79"/>
    </row>
    <row r="39" spans="1:8" x14ac:dyDescent="0.25">
      <c r="A39" s="78"/>
      <c r="B39" s="79"/>
      <c r="C39" s="79"/>
      <c r="D39" s="79"/>
      <c r="E39" s="79"/>
      <c r="F39" s="79"/>
      <c r="G39" s="79"/>
      <c r="H39" s="79"/>
    </row>
    <row r="40" spans="1:8" ht="17.25" x14ac:dyDescent="0.25">
      <c r="A40" s="32"/>
      <c r="B40" s="7"/>
      <c r="C40" s="39" t="s">
        <v>69</v>
      </c>
      <c r="D40" s="39" t="s">
        <v>71</v>
      </c>
      <c r="E40" s="24" t="s">
        <v>68</v>
      </c>
      <c r="F40" s="24" t="s">
        <v>67</v>
      </c>
      <c r="G40" s="39" t="s">
        <v>70</v>
      </c>
      <c r="H40" s="39" t="s">
        <v>72</v>
      </c>
    </row>
    <row r="41" spans="1:8" x14ac:dyDescent="0.25">
      <c r="A41" s="15" t="s">
        <v>26</v>
      </c>
      <c r="B41" s="18" t="s">
        <v>30</v>
      </c>
      <c r="C41" s="42">
        <v>862</v>
      </c>
      <c r="D41" s="42">
        <v>307</v>
      </c>
      <c r="E41" s="45">
        <v>327</v>
      </c>
      <c r="F41" s="18">
        <v>432</v>
      </c>
      <c r="G41" s="37">
        <v>192</v>
      </c>
      <c r="H41" s="38">
        <v>1739</v>
      </c>
    </row>
    <row r="42" spans="1:8" x14ac:dyDescent="0.25">
      <c r="A42" s="15"/>
      <c r="B42" s="22" t="s">
        <v>29</v>
      </c>
      <c r="C42" s="25">
        <v>49.568717653824038</v>
      </c>
      <c r="D42" s="41">
        <v>17.65382403680276</v>
      </c>
      <c r="E42" s="36">
        <v>18.803910293271993</v>
      </c>
      <c r="F42" s="25">
        <v>24.84186313973548</v>
      </c>
      <c r="G42" s="25">
        <v>11.040828062104657</v>
      </c>
      <c r="H42" s="22"/>
    </row>
    <row r="43" spans="1:8" x14ac:dyDescent="0.25">
      <c r="A43" s="15" t="s">
        <v>8</v>
      </c>
      <c r="B43" s="22" t="s">
        <v>30</v>
      </c>
      <c r="C43" s="34">
        <v>583</v>
      </c>
      <c r="D43" s="34">
        <v>197</v>
      </c>
      <c r="E43" s="43">
        <v>376</v>
      </c>
      <c r="F43" s="22">
        <v>155</v>
      </c>
      <c r="G43" s="34">
        <v>23</v>
      </c>
      <c r="H43" s="38">
        <v>1099</v>
      </c>
    </row>
    <row r="44" spans="1:8" x14ac:dyDescent="0.25">
      <c r="A44" s="15"/>
      <c r="B44" s="22" t="s">
        <v>29</v>
      </c>
      <c r="C44" s="25">
        <v>53.04822565969063</v>
      </c>
      <c r="D44" s="41">
        <v>17.925386715195632</v>
      </c>
      <c r="E44" s="36">
        <v>34.212920837124663</v>
      </c>
      <c r="F44" s="25">
        <v>14.103730664240219</v>
      </c>
      <c r="G44" s="25">
        <v>2.0928116469517746</v>
      </c>
      <c r="H44" s="22"/>
    </row>
    <row r="45" spans="1:8" x14ac:dyDescent="0.25">
      <c r="A45" s="15" t="s">
        <v>27</v>
      </c>
      <c r="B45" s="22" t="s">
        <v>30</v>
      </c>
      <c r="C45" s="43">
        <v>188</v>
      </c>
      <c r="D45" s="34">
        <v>122</v>
      </c>
      <c r="E45" s="43">
        <v>216</v>
      </c>
      <c r="F45" s="22">
        <v>57</v>
      </c>
      <c r="G45" s="34">
        <v>27</v>
      </c>
      <c r="H45" s="38">
        <v>435</v>
      </c>
    </row>
    <row r="46" spans="1:8" x14ac:dyDescent="0.25">
      <c r="A46" s="15"/>
      <c r="B46" s="22" t="s">
        <v>29</v>
      </c>
      <c r="C46" s="25">
        <v>43.218390804597703</v>
      </c>
      <c r="D46" s="41">
        <v>28.045977011494255</v>
      </c>
      <c r="E46" s="36">
        <v>49.655172413793103</v>
      </c>
      <c r="F46" s="25">
        <v>13.103448275862069</v>
      </c>
      <c r="G46" s="25">
        <v>6.2068965517241379</v>
      </c>
      <c r="H46" s="22"/>
    </row>
    <row r="47" spans="1:8" x14ac:dyDescent="0.25">
      <c r="A47" s="15" t="s">
        <v>10</v>
      </c>
      <c r="B47" s="22" t="s">
        <v>30</v>
      </c>
      <c r="C47" s="43">
        <v>172</v>
      </c>
      <c r="D47" s="34">
        <v>80</v>
      </c>
      <c r="E47" s="43">
        <v>114</v>
      </c>
      <c r="F47" s="22">
        <v>68</v>
      </c>
      <c r="G47" s="34">
        <v>16</v>
      </c>
      <c r="H47" s="38">
        <v>349</v>
      </c>
    </row>
    <row r="48" spans="1:8" x14ac:dyDescent="0.25">
      <c r="A48" s="15"/>
      <c r="B48" s="22" t="s">
        <v>29</v>
      </c>
      <c r="C48" s="25">
        <v>49.283667621776509</v>
      </c>
      <c r="D48" s="41">
        <v>22.922636103151863</v>
      </c>
      <c r="E48" s="36">
        <v>32.664756446991404</v>
      </c>
      <c r="F48" s="25">
        <v>19.484240687679083</v>
      </c>
      <c r="G48" s="25">
        <v>4.5845272206303722</v>
      </c>
      <c r="H48" s="22"/>
    </row>
    <row r="49" spans="1:8" x14ac:dyDescent="0.25">
      <c r="A49" s="15" t="s">
        <v>1</v>
      </c>
      <c r="B49" s="22" t="s">
        <v>30</v>
      </c>
      <c r="C49" s="34">
        <v>127</v>
      </c>
      <c r="D49" s="34">
        <v>42</v>
      </c>
      <c r="E49" s="43">
        <v>48</v>
      </c>
      <c r="F49" s="22">
        <v>40</v>
      </c>
      <c r="G49" s="34">
        <v>19</v>
      </c>
      <c r="H49" s="54">
        <v>228</v>
      </c>
    </row>
    <row r="50" spans="1:8" x14ac:dyDescent="0.25">
      <c r="A50" s="15"/>
      <c r="B50" s="22" t="s">
        <v>29</v>
      </c>
      <c r="C50" s="25">
        <v>55.701754385964911</v>
      </c>
      <c r="D50" s="41">
        <v>18.421052631578945</v>
      </c>
      <c r="E50" s="36">
        <v>21.052631578947366</v>
      </c>
      <c r="F50" s="25">
        <v>17.543859649122805</v>
      </c>
      <c r="G50" s="25">
        <v>8.3333333333333321</v>
      </c>
      <c r="H50" s="22"/>
    </row>
    <row r="51" spans="1:8" x14ac:dyDescent="0.25">
      <c r="A51" s="15" t="s">
        <v>0</v>
      </c>
      <c r="B51" s="22" t="s">
        <v>30</v>
      </c>
      <c r="C51" s="51">
        <v>1932</v>
      </c>
      <c r="D51" s="52">
        <v>748</v>
      </c>
      <c r="E51" s="53">
        <v>1081</v>
      </c>
      <c r="F51" s="26">
        <v>752</v>
      </c>
      <c r="G51" s="52">
        <v>277</v>
      </c>
      <c r="H51" s="55">
        <v>3850</v>
      </c>
    </row>
    <row r="52" spans="1:8" x14ac:dyDescent="0.25">
      <c r="A52" s="15"/>
      <c r="B52" s="17" t="s">
        <v>29</v>
      </c>
      <c r="C52" s="21">
        <v>50.18181818181818</v>
      </c>
      <c r="D52" s="50">
        <v>19.428571428571427</v>
      </c>
      <c r="E52" s="40">
        <v>28.077922077922079</v>
      </c>
      <c r="F52" s="21">
        <v>19.532467532467532</v>
      </c>
      <c r="G52" s="21">
        <v>7.1948051948051939</v>
      </c>
      <c r="H52" s="7"/>
    </row>
  </sheetData>
  <mergeCells count="8">
    <mergeCell ref="A38:A39"/>
    <mergeCell ref="B38:H39"/>
    <mergeCell ref="K6:N8"/>
    <mergeCell ref="K2:N4"/>
    <mergeCell ref="A1:A2"/>
    <mergeCell ref="B1:H2"/>
    <mergeCell ref="A19:A20"/>
    <mergeCell ref="B19:H2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53"/>
  <sheetViews>
    <sheetView topLeftCell="E1" workbookViewId="0">
      <selection activeCell="S18" sqref="S18"/>
    </sheetView>
  </sheetViews>
  <sheetFormatPr defaultRowHeight="15" x14ac:dyDescent="0.25"/>
  <cols>
    <col min="1" max="1" width="19.5703125" bestFit="1" customWidth="1"/>
    <col min="12" max="12" width="8.5703125" customWidth="1"/>
  </cols>
  <sheetData>
    <row r="1" spans="1:18" ht="15" customHeight="1" x14ac:dyDescent="0.25">
      <c r="A1" s="78" t="s">
        <v>77</v>
      </c>
      <c r="B1" s="79" t="s">
        <v>54</v>
      </c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 x14ac:dyDescent="0.25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O2" s="81" t="s">
        <v>79</v>
      </c>
      <c r="P2" s="81"/>
      <c r="Q2" s="81"/>
      <c r="R2" s="81"/>
    </row>
    <row r="3" spans="1:18" x14ac:dyDescent="0.25">
      <c r="A3" s="15"/>
      <c r="B3" s="7"/>
      <c r="C3" s="17" t="s">
        <v>14</v>
      </c>
      <c r="D3" s="17" t="s">
        <v>46</v>
      </c>
      <c r="E3" s="17" t="s">
        <v>50</v>
      </c>
      <c r="F3" s="17" t="s">
        <v>17</v>
      </c>
      <c r="G3" s="17" t="s">
        <v>47</v>
      </c>
      <c r="H3" s="17" t="s">
        <v>48</v>
      </c>
      <c r="I3" s="17" t="s">
        <v>49</v>
      </c>
      <c r="J3" s="17" t="s">
        <v>51</v>
      </c>
      <c r="K3" s="17" t="s">
        <v>66</v>
      </c>
      <c r="L3" s="57" t="s">
        <v>78</v>
      </c>
      <c r="O3" s="81"/>
      <c r="P3" s="81"/>
      <c r="Q3" s="81"/>
      <c r="R3" s="81"/>
    </row>
    <row r="4" spans="1:18" x14ac:dyDescent="0.25">
      <c r="A4" s="15" t="s">
        <v>69</v>
      </c>
      <c r="B4" s="16" t="s">
        <v>30</v>
      </c>
      <c r="C4" s="15">
        <v>177</v>
      </c>
      <c r="D4" s="15">
        <v>932</v>
      </c>
      <c r="E4" s="15">
        <v>1026</v>
      </c>
      <c r="F4" s="15">
        <v>1014</v>
      </c>
      <c r="G4" s="15">
        <v>831</v>
      </c>
      <c r="H4" s="15">
        <v>528</v>
      </c>
      <c r="I4" s="15">
        <v>361</v>
      </c>
      <c r="J4" s="15">
        <v>221</v>
      </c>
      <c r="K4" s="15">
        <v>140</v>
      </c>
      <c r="L4" s="15">
        <v>5230</v>
      </c>
      <c r="O4" s="81"/>
      <c r="P4" s="81"/>
      <c r="Q4" s="81"/>
      <c r="R4" s="81"/>
    </row>
    <row r="5" spans="1:18" x14ac:dyDescent="0.25">
      <c r="A5" s="15"/>
      <c r="B5" s="22" t="s">
        <v>29</v>
      </c>
      <c r="C5" s="10">
        <v>25.578034682080926</v>
      </c>
      <c r="D5" s="10">
        <v>42.811208084519983</v>
      </c>
      <c r="E5" s="10">
        <v>57.966101694915253</v>
      </c>
      <c r="F5" s="10">
        <v>62.942271880819369</v>
      </c>
      <c r="G5" s="10">
        <v>62.014925373134332</v>
      </c>
      <c r="H5" s="10">
        <v>56.350053361792952</v>
      </c>
      <c r="I5" s="10">
        <v>44.29447852760736</v>
      </c>
      <c r="J5" s="10">
        <v>33.895705521472394</v>
      </c>
      <c r="K5" s="10">
        <v>26.565464895635671</v>
      </c>
      <c r="L5" s="10">
        <v>49.710103602319172</v>
      </c>
    </row>
    <row r="6" spans="1:18" x14ac:dyDescent="0.25">
      <c r="A6" s="15" t="s">
        <v>76</v>
      </c>
      <c r="B6" s="22" t="s">
        <v>30</v>
      </c>
      <c r="C6" s="9">
        <v>122</v>
      </c>
      <c r="D6" s="9">
        <v>440</v>
      </c>
      <c r="E6" s="9">
        <v>357</v>
      </c>
      <c r="F6" s="9">
        <v>382</v>
      </c>
      <c r="G6" s="9">
        <v>316</v>
      </c>
      <c r="H6" s="9">
        <v>274</v>
      </c>
      <c r="I6" s="9">
        <v>268</v>
      </c>
      <c r="J6" s="9">
        <v>194</v>
      </c>
      <c r="K6" s="9">
        <v>142</v>
      </c>
      <c r="L6" s="9">
        <v>2495</v>
      </c>
      <c r="O6" s="76" t="s">
        <v>83</v>
      </c>
      <c r="P6" s="76"/>
      <c r="Q6" s="76"/>
      <c r="R6" s="76"/>
    </row>
    <row r="7" spans="1:18" x14ac:dyDescent="0.25">
      <c r="A7" s="15"/>
      <c r="B7" s="22" t="s">
        <v>29</v>
      </c>
      <c r="C7" s="10">
        <v>17.630057803468208</v>
      </c>
      <c r="D7" s="10">
        <v>20.211299954065225</v>
      </c>
      <c r="E7" s="10">
        <v>20.16949152542373</v>
      </c>
      <c r="F7" s="10">
        <v>23.711980136561142</v>
      </c>
      <c r="G7" s="10">
        <v>23.582089552238806</v>
      </c>
      <c r="H7" s="10">
        <v>29.242262540021347</v>
      </c>
      <c r="I7" s="10">
        <v>32.883435582822088</v>
      </c>
      <c r="J7" s="10">
        <v>29.754601226993866</v>
      </c>
      <c r="K7" s="10">
        <v>26.944971537001898</v>
      </c>
      <c r="L7" s="10">
        <v>23.714475810284195</v>
      </c>
      <c r="O7" s="76"/>
      <c r="P7" s="76"/>
      <c r="Q7" s="76"/>
      <c r="R7" s="76"/>
    </row>
    <row r="8" spans="1:18" x14ac:dyDescent="0.25">
      <c r="A8" s="15" t="s">
        <v>68</v>
      </c>
      <c r="B8" s="22" t="s">
        <v>30</v>
      </c>
      <c r="C8" s="9">
        <v>352</v>
      </c>
      <c r="D8" s="9">
        <v>325</v>
      </c>
      <c r="E8" s="9">
        <v>99</v>
      </c>
      <c r="F8" s="9">
        <v>88</v>
      </c>
      <c r="G8" s="9">
        <v>110</v>
      </c>
      <c r="H8" s="9">
        <v>202</v>
      </c>
      <c r="I8" s="9">
        <v>346</v>
      </c>
      <c r="J8" s="9">
        <v>369</v>
      </c>
      <c r="K8" s="9">
        <v>373</v>
      </c>
      <c r="L8" s="9">
        <v>2264</v>
      </c>
      <c r="O8" s="76"/>
      <c r="P8" s="76"/>
      <c r="Q8" s="76"/>
      <c r="R8" s="76"/>
    </row>
    <row r="9" spans="1:18" x14ac:dyDescent="0.25">
      <c r="A9" s="15"/>
      <c r="B9" s="22" t="s">
        <v>29</v>
      </c>
      <c r="C9" s="10">
        <v>50.867052023121381</v>
      </c>
      <c r="D9" s="10">
        <v>14.928801102434544</v>
      </c>
      <c r="E9" s="10">
        <v>5.593220338983051</v>
      </c>
      <c r="F9" s="10">
        <v>5.4624456859093726</v>
      </c>
      <c r="G9" s="10">
        <v>8.2089552238805972</v>
      </c>
      <c r="H9" s="10">
        <v>21.558164354322304</v>
      </c>
      <c r="I9" s="10">
        <v>42.45398773006135</v>
      </c>
      <c r="J9" s="10">
        <v>56.595092024539873</v>
      </c>
      <c r="K9" s="10">
        <v>70.777988614800762</v>
      </c>
      <c r="L9" s="10">
        <v>21.518867027849065</v>
      </c>
    </row>
    <row r="10" spans="1:18" x14ac:dyDescent="0.25">
      <c r="A10" s="15" t="s">
        <v>67</v>
      </c>
      <c r="B10" s="22" t="s">
        <v>30</v>
      </c>
      <c r="C10" s="9">
        <v>39</v>
      </c>
      <c r="D10" s="9">
        <v>474</v>
      </c>
      <c r="E10" s="9">
        <v>449</v>
      </c>
      <c r="F10" s="9">
        <v>424</v>
      </c>
      <c r="G10" s="9">
        <v>344</v>
      </c>
      <c r="H10" s="9">
        <v>185</v>
      </c>
      <c r="I10" s="9">
        <v>96</v>
      </c>
      <c r="J10" s="9">
        <v>55</v>
      </c>
      <c r="K10" s="9">
        <v>38</v>
      </c>
      <c r="L10" s="9">
        <v>2104</v>
      </c>
    </row>
    <row r="11" spans="1:18" x14ac:dyDescent="0.25">
      <c r="A11" s="15"/>
      <c r="B11" s="22" t="s">
        <v>29</v>
      </c>
      <c r="C11" s="10">
        <v>5.6358381502890174</v>
      </c>
      <c r="D11" s="10">
        <v>21.773082223242994</v>
      </c>
      <c r="E11" s="10">
        <v>25.36723163841808</v>
      </c>
      <c r="F11" s="10">
        <v>26.319056486654251</v>
      </c>
      <c r="G11" s="10">
        <v>25.671641791044774</v>
      </c>
      <c r="H11" s="10">
        <v>19.743863393810031</v>
      </c>
      <c r="I11" s="10">
        <v>11.779141104294478</v>
      </c>
      <c r="J11" s="10">
        <v>8.4355828220858893</v>
      </c>
      <c r="K11" s="10">
        <v>7.2106261859582546</v>
      </c>
      <c r="L11" s="10">
        <v>19.998099040015209</v>
      </c>
    </row>
    <row r="12" spans="1:18" x14ac:dyDescent="0.25">
      <c r="A12" s="15" t="s">
        <v>70</v>
      </c>
      <c r="B12" s="22" t="s">
        <v>30</v>
      </c>
      <c r="C12" s="9">
        <v>189</v>
      </c>
      <c r="D12" s="9">
        <v>700</v>
      </c>
      <c r="E12" s="9">
        <v>307</v>
      </c>
      <c r="F12" s="9">
        <v>172</v>
      </c>
      <c r="G12" s="9">
        <v>124</v>
      </c>
      <c r="H12" s="9">
        <v>68</v>
      </c>
      <c r="I12" s="9">
        <v>30</v>
      </c>
      <c r="J12" s="9">
        <v>17</v>
      </c>
      <c r="K12" s="9">
        <v>11</v>
      </c>
      <c r="L12" s="9">
        <v>1618</v>
      </c>
    </row>
    <row r="13" spans="1:18" x14ac:dyDescent="0.25">
      <c r="A13" s="15"/>
      <c r="B13" s="22" t="s">
        <v>29</v>
      </c>
      <c r="C13" s="10">
        <v>27.312138728323699</v>
      </c>
      <c r="D13" s="10">
        <v>32.154340836012864</v>
      </c>
      <c r="E13" s="10">
        <v>17.344632768361581</v>
      </c>
      <c r="F13" s="10">
        <v>10.676598386095593</v>
      </c>
      <c r="G13" s="10">
        <v>9.2537313432835813</v>
      </c>
      <c r="H13" s="10">
        <v>7.2572038420490923</v>
      </c>
      <c r="I13" s="10">
        <v>3.6809815950920246</v>
      </c>
      <c r="J13" s="10">
        <v>2.6073619631901841</v>
      </c>
      <c r="K13" s="10">
        <v>2.0872865275142316</v>
      </c>
      <c r="L13" s="10">
        <v>15.378766276969868</v>
      </c>
    </row>
    <row r="14" spans="1:18" x14ac:dyDescent="0.25">
      <c r="A14" s="15" t="s">
        <v>72</v>
      </c>
      <c r="B14" s="22" t="s">
        <v>30</v>
      </c>
      <c r="C14" s="9">
        <v>692</v>
      </c>
      <c r="D14" s="9">
        <v>2177</v>
      </c>
      <c r="E14" s="9">
        <v>1770</v>
      </c>
      <c r="F14" s="9">
        <v>1611</v>
      </c>
      <c r="G14" s="9">
        <v>1340</v>
      </c>
      <c r="H14" s="9">
        <v>937</v>
      </c>
      <c r="I14" s="9">
        <v>815</v>
      </c>
      <c r="J14" s="9">
        <v>652</v>
      </c>
      <c r="K14" s="9">
        <v>527</v>
      </c>
      <c r="L14" s="9">
        <v>10521</v>
      </c>
    </row>
    <row r="15" spans="1:18" x14ac:dyDescent="0.25">
      <c r="A15" s="15"/>
      <c r="B15" s="17" t="s">
        <v>29</v>
      </c>
      <c r="C15" s="8">
        <f>(C14/$L$14)*100</f>
        <v>6.5773215473814277</v>
      </c>
      <c r="D15" s="8">
        <f t="shared" ref="D15:K15" si="0">(D14/$L$14)*100</f>
        <v>20.691949434464405</v>
      </c>
      <c r="E15" s="8">
        <f t="shared" si="0"/>
        <v>16.823495865412035</v>
      </c>
      <c r="F15" s="8">
        <f t="shared" si="0"/>
        <v>15.312232677502138</v>
      </c>
      <c r="G15" s="8">
        <f t="shared" si="0"/>
        <v>12.736431898108544</v>
      </c>
      <c r="H15" s="8">
        <f t="shared" si="0"/>
        <v>8.905997528752021</v>
      </c>
      <c r="I15" s="8">
        <f t="shared" si="0"/>
        <v>7.7464119380287046</v>
      </c>
      <c r="J15" s="8">
        <f t="shared" si="0"/>
        <v>6.1971295504229635</v>
      </c>
      <c r="K15" s="8">
        <f t="shared" si="0"/>
        <v>5.0090295599277637</v>
      </c>
      <c r="L15" s="7"/>
    </row>
    <row r="19" spans="1:12" x14ac:dyDescent="0.25">
      <c r="A19" s="3" t="s">
        <v>7</v>
      </c>
    </row>
    <row r="20" spans="1:12" x14ac:dyDescent="0.25">
      <c r="A20" s="78" t="s">
        <v>77</v>
      </c>
      <c r="B20" s="79" t="s">
        <v>55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</row>
    <row r="21" spans="1:12" x14ac:dyDescent="0.25">
      <c r="A21" s="78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</row>
    <row r="22" spans="1:12" x14ac:dyDescent="0.25">
      <c r="A22" s="15"/>
      <c r="B22" s="7"/>
      <c r="C22" s="17" t="s">
        <v>14</v>
      </c>
      <c r="D22" s="17" t="s">
        <v>46</v>
      </c>
      <c r="E22" s="17" t="s">
        <v>50</v>
      </c>
      <c r="F22" s="17" t="s">
        <v>17</v>
      </c>
      <c r="G22" s="17" t="s">
        <v>47</v>
      </c>
      <c r="H22" s="17" t="s">
        <v>48</v>
      </c>
      <c r="I22" s="17" t="s">
        <v>49</v>
      </c>
      <c r="J22" s="17" t="s">
        <v>51</v>
      </c>
      <c r="K22" s="17" t="s">
        <v>66</v>
      </c>
      <c r="L22" s="57" t="s">
        <v>78</v>
      </c>
    </row>
    <row r="23" spans="1:12" x14ac:dyDescent="0.25">
      <c r="A23" s="15" t="s">
        <v>69</v>
      </c>
      <c r="B23" s="16" t="s">
        <v>30</v>
      </c>
      <c r="C23" s="15">
        <v>81</v>
      </c>
      <c r="D23" s="15">
        <v>563</v>
      </c>
      <c r="E23" s="15">
        <v>681</v>
      </c>
      <c r="F23" s="15">
        <v>675</v>
      </c>
      <c r="G23" s="15">
        <v>559</v>
      </c>
      <c r="H23" s="15">
        <v>358</v>
      </c>
      <c r="I23" s="15">
        <v>183</v>
      </c>
      <c r="J23" s="15">
        <v>110</v>
      </c>
      <c r="K23" s="15">
        <v>89</v>
      </c>
      <c r="L23" s="15">
        <v>3299</v>
      </c>
    </row>
    <row r="24" spans="1:12" x14ac:dyDescent="0.25">
      <c r="A24" s="15"/>
      <c r="B24" s="22" t="s">
        <v>29</v>
      </c>
      <c r="C24" s="10">
        <v>24.471299093655588</v>
      </c>
      <c r="D24" s="10">
        <v>39.124391938846422</v>
      </c>
      <c r="E24" s="10">
        <v>56.939799331103679</v>
      </c>
      <c r="F24" s="10">
        <v>63.380281690140848</v>
      </c>
      <c r="G24" s="10">
        <v>61.026200873362448</v>
      </c>
      <c r="H24" s="10">
        <v>58.688524590163937</v>
      </c>
      <c r="I24" s="10">
        <v>42.165898617511523</v>
      </c>
      <c r="J24" s="10">
        <v>29.72972972972973</v>
      </c>
      <c r="K24" s="10">
        <v>28.525641025641026</v>
      </c>
      <c r="L24" s="10">
        <v>49.438033867825567</v>
      </c>
    </row>
    <row r="25" spans="1:12" x14ac:dyDescent="0.25">
      <c r="A25" s="15" t="s">
        <v>76</v>
      </c>
      <c r="B25" s="22" t="s">
        <v>30</v>
      </c>
      <c r="C25" s="9">
        <v>57</v>
      </c>
      <c r="D25" s="9">
        <v>272</v>
      </c>
      <c r="E25" s="9">
        <v>279</v>
      </c>
      <c r="F25" s="9">
        <v>303</v>
      </c>
      <c r="G25" s="9">
        <v>256</v>
      </c>
      <c r="H25" s="9">
        <v>218</v>
      </c>
      <c r="I25" s="9">
        <v>157</v>
      </c>
      <c r="J25" s="9">
        <v>118</v>
      </c>
      <c r="K25" s="9">
        <v>88</v>
      </c>
      <c r="L25" s="9">
        <v>1748</v>
      </c>
    </row>
    <row r="26" spans="1:12" x14ac:dyDescent="0.25">
      <c r="A26" s="15"/>
      <c r="B26" s="22" t="s">
        <v>29</v>
      </c>
      <c r="C26" s="10">
        <v>17.220543806646525</v>
      </c>
      <c r="D26" s="10">
        <v>18.902015288394718</v>
      </c>
      <c r="E26" s="10">
        <v>23.327759197324415</v>
      </c>
      <c r="F26" s="10">
        <v>28.450704225352112</v>
      </c>
      <c r="G26" s="10">
        <v>27.947598253275107</v>
      </c>
      <c r="H26" s="10">
        <v>35.73770491803279</v>
      </c>
      <c r="I26" s="10">
        <v>36.175115207373274</v>
      </c>
      <c r="J26" s="10">
        <v>31.891891891891895</v>
      </c>
      <c r="K26" s="10">
        <v>28.205128205128204</v>
      </c>
      <c r="L26" s="10">
        <v>26.195114641090967</v>
      </c>
    </row>
    <row r="27" spans="1:12" x14ac:dyDescent="0.25">
      <c r="A27" s="15" t="s">
        <v>68</v>
      </c>
      <c r="B27" s="22" t="s">
        <v>30</v>
      </c>
      <c r="C27" s="9">
        <v>155</v>
      </c>
      <c r="D27" s="9">
        <v>146</v>
      </c>
      <c r="E27" s="9">
        <v>47</v>
      </c>
      <c r="F27" s="9">
        <v>48</v>
      </c>
      <c r="G27" s="9">
        <v>65</v>
      </c>
      <c r="H27" s="9">
        <v>107</v>
      </c>
      <c r="I27" s="9">
        <v>180</v>
      </c>
      <c r="J27" s="9">
        <v>214</v>
      </c>
      <c r="K27" s="9">
        <v>221</v>
      </c>
      <c r="L27" s="9">
        <v>1183</v>
      </c>
    </row>
    <row r="28" spans="1:12" x14ac:dyDescent="0.25">
      <c r="A28" s="15"/>
      <c r="B28" s="22" t="s">
        <v>29</v>
      </c>
      <c r="C28" s="10">
        <v>46.82779456193353</v>
      </c>
      <c r="D28" s="10">
        <v>10.14593467685893</v>
      </c>
      <c r="E28" s="10">
        <v>3.9297658862876257</v>
      </c>
      <c r="F28" s="10">
        <v>4.507042253521127</v>
      </c>
      <c r="G28" s="10">
        <v>7.0960698689956327</v>
      </c>
      <c r="H28" s="10">
        <v>17.540983606557379</v>
      </c>
      <c r="I28" s="10">
        <v>41.474654377880185</v>
      </c>
      <c r="J28" s="10">
        <v>57.837837837837839</v>
      </c>
      <c r="K28" s="10">
        <v>70.833333333333343</v>
      </c>
      <c r="L28" s="10">
        <v>17.728158249662819</v>
      </c>
    </row>
    <row r="29" spans="1:12" x14ac:dyDescent="0.25">
      <c r="A29" s="15" t="s">
        <v>67</v>
      </c>
      <c r="B29" s="22" t="s">
        <v>30</v>
      </c>
      <c r="C29" s="9">
        <v>19</v>
      </c>
      <c r="D29" s="9">
        <v>340</v>
      </c>
      <c r="E29" s="9">
        <v>290</v>
      </c>
      <c r="F29" s="9">
        <v>265</v>
      </c>
      <c r="G29" s="9">
        <v>233</v>
      </c>
      <c r="H29" s="9">
        <v>122</v>
      </c>
      <c r="I29" s="9">
        <v>49</v>
      </c>
      <c r="J29" s="9">
        <v>24</v>
      </c>
      <c r="K29" s="9">
        <v>10</v>
      </c>
      <c r="L29" s="9">
        <v>1352</v>
      </c>
    </row>
    <row r="30" spans="1:12" x14ac:dyDescent="0.25">
      <c r="A30" s="15"/>
      <c r="B30" s="22" t="s">
        <v>29</v>
      </c>
      <c r="C30" s="10">
        <v>5.7401812688821749</v>
      </c>
      <c r="D30" s="10">
        <v>23.627519110493399</v>
      </c>
      <c r="E30" s="10">
        <v>24.247491638795989</v>
      </c>
      <c r="F30" s="10">
        <v>24.88262910798122</v>
      </c>
      <c r="G30" s="10">
        <v>25.436681222707424</v>
      </c>
      <c r="H30" s="10">
        <v>20</v>
      </c>
      <c r="I30" s="10">
        <v>11.29032258064516</v>
      </c>
      <c r="J30" s="10">
        <v>6.4864864864864868</v>
      </c>
      <c r="K30" s="10">
        <v>3.2051282051282048</v>
      </c>
      <c r="L30" s="10">
        <v>20.260752285328937</v>
      </c>
    </row>
    <row r="31" spans="1:12" x14ac:dyDescent="0.25">
      <c r="A31" s="15" t="s">
        <v>70</v>
      </c>
      <c r="B31" s="22" t="s">
        <v>30</v>
      </c>
      <c r="C31" s="9">
        <v>114</v>
      </c>
      <c r="D31" s="9">
        <v>566</v>
      </c>
      <c r="E31" s="9">
        <v>273</v>
      </c>
      <c r="F31" s="9">
        <v>164</v>
      </c>
      <c r="G31" s="9">
        <v>107</v>
      </c>
      <c r="H31" s="9">
        <v>63</v>
      </c>
      <c r="I31" s="9">
        <v>28</v>
      </c>
      <c r="J31" s="9">
        <v>16</v>
      </c>
      <c r="K31" s="9">
        <v>11</v>
      </c>
      <c r="L31" s="9">
        <v>1342</v>
      </c>
    </row>
    <row r="32" spans="1:12" x14ac:dyDescent="0.25">
      <c r="A32" s="15"/>
      <c r="B32" s="22" t="s">
        <v>29</v>
      </c>
      <c r="C32" s="10">
        <v>34.44108761329305</v>
      </c>
      <c r="D32" s="10">
        <v>39.332870048644892</v>
      </c>
      <c r="E32" s="10">
        <v>22.826086956521738</v>
      </c>
      <c r="F32" s="10">
        <v>15.39906103286385</v>
      </c>
      <c r="G32" s="10">
        <v>11.681222707423581</v>
      </c>
      <c r="H32" s="10">
        <v>10.327868852459018</v>
      </c>
      <c r="I32" s="10">
        <v>6.4516129032258061</v>
      </c>
      <c r="J32" s="10">
        <v>4.3243243243243246</v>
      </c>
      <c r="K32" s="10">
        <v>3.5256410256410255</v>
      </c>
      <c r="L32" s="10">
        <v>20.110894650082422</v>
      </c>
    </row>
    <row r="33" spans="1:12" x14ac:dyDescent="0.25">
      <c r="A33" s="15" t="s">
        <v>72</v>
      </c>
      <c r="B33" s="22" t="s">
        <v>30</v>
      </c>
      <c r="C33" s="9">
        <v>331</v>
      </c>
      <c r="D33" s="9">
        <v>1439</v>
      </c>
      <c r="E33" s="9">
        <v>1196</v>
      </c>
      <c r="F33" s="9">
        <v>1065</v>
      </c>
      <c r="G33" s="9">
        <v>916</v>
      </c>
      <c r="H33" s="9">
        <v>610</v>
      </c>
      <c r="I33" s="9">
        <v>434</v>
      </c>
      <c r="J33" s="9">
        <v>370</v>
      </c>
      <c r="K33" s="9">
        <v>312</v>
      </c>
      <c r="L33" s="9">
        <v>6673</v>
      </c>
    </row>
    <row r="34" spans="1:12" x14ac:dyDescent="0.25">
      <c r="A34" s="15"/>
      <c r="B34" s="17" t="s">
        <v>29</v>
      </c>
      <c r="C34" s="8">
        <f>(C33/$L$33)*100</f>
        <v>4.9602877266596739</v>
      </c>
      <c r="D34" s="8">
        <f t="shared" ref="D34:K34" si="1">(D33/$L$33)*100</f>
        <v>21.564513711973625</v>
      </c>
      <c r="E34" s="8">
        <f t="shared" si="1"/>
        <v>17.922973175483293</v>
      </c>
      <c r="F34" s="8">
        <f t="shared" si="1"/>
        <v>15.959838153753934</v>
      </c>
      <c r="G34" s="8">
        <f t="shared" si="1"/>
        <v>13.726959388580848</v>
      </c>
      <c r="H34" s="8">
        <f t="shared" si="1"/>
        <v>9.1413157500374638</v>
      </c>
      <c r="I34" s="8">
        <f t="shared" si="1"/>
        <v>6.5038213696987865</v>
      </c>
      <c r="J34" s="8">
        <f t="shared" si="1"/>
        <v>5.5447325041210851</v>
      </c>
      <c r="K34" s="8">
        <f t="shared" si="1"/>
        <v>4.6755582196912933</v>
      </c>
      <c r="L34" s="7"/>
    </row>
    <row r="38" spans="1:12" x14ac:dyDescent="0.25">
      <c r="A38" s="3" t="s">
        <v>6</v>
      </c>
    </row>
    <row r="39" spans="1:12" x14ac:dyDescent="0.25">
      <c r="A39" s="78" t="s">
        <v>77</v>
      </c>
      <c r="B39" s="79" t="s">
        <v>56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</row>
    <row r="40" spans="1:12" x14ac:dyDescent="0.25">
      <c r="A40" s="78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</row>
    <row r="41" spans="1:12" x14ac:dyDescent="0.25">
      <c r="A41" s="15"/>
      <c r="B41" s="7"/>
      <c r="C41" s="17" t="s">
        <v>14</v>
      </c>
      <c r="D41" s="17" t="s">
        <v>46</v>
      </c>
      <c r="E41" s="17" t="s">
        <v>50</v>
      </c>
      <c r="F41" s="17" t="s">
        <v>17</v>
      </c>
      <c r="G41" s="17" t="s">
        <v>47</v>
      </c>
      <c r="H41" s="17" t="s">
        <v>48</v>
      </c>
      <c r="I41" s="17" t="s">
        <v>49</v>
      </c>
      <c r="J41" s="17" t="s">
        <v>51</v>
      </c>
      <c r="K41" s="17" t="s">
        <v>66</v>
      </c>
      <c r="L41" s="57" t="s">
        <v>78</v>
      </c>
    </row>
    <row r="42" spans="1:12" x14ac:dyDescent="0.25">
      <c r="A42" s="15" t="s">
        <v>69</v>
      </c>
      <c r="B42" s="16" t="s">
        <v>30</v>
      </c>
      <c r="C42" s="15">
        <v>96</v>
      </c>
      <c r="D42" s="15">
        <v>369</v>
      </c>
      <c r="E42" s="15">
        <v>345</v>
      </c>
      <c r="F42" s="15">
        <v>339</v>
      </c>
      <c r="G42" s="15">
        <v>272</v>
      </c>
      <c r="H42" s="15">
        <v>170</v>
      </c>
      <c r="I42" s="15">
        <v>178</v>
      </c>
      <c r="J42" s="15">
        <v>111</v>
      </c>
      <c r="K42" s="15">
        <v>51</v>
      </c>
      <c r="L42" s="15">
        <v>1931</v>
      </c>
    </row>
    <row r="43" spans="1:12" x14ac:dyDescent="0.25">
      <c r="A43" s="15"/>
      <c r="B43" s="22" t="s">
        <v>29</v>
      </c>
      <c r="C43" s="10">
        <v>26.59279778393352</v>
      </c>
      <c r="D43" s="10">
        <v>50</v>
      </c>
      <c r="E43" s="10">
        <v>60.104529616724733</v>
      </c>
      <c r="F43" s="10">
        <v>62.087912087912088</v>
      </c>
      <c r="G43" s="10">
        <v>64.15094339622641</v>
      </c>
      <c r="H43" s="10">
        <v>51.987767584097853</v>
      </c>
      <c r="I43" s="10">
        <v>46.719160104986877</v>
      </c>
      <c r="J43" s="10">
        <v>39.361702127659576</v>
      </c>
      <c r="K43" s="10">
        <v>23.720930232558139</v>
      </c>
      <c r="L43" s="10">
        <v>50.181912681912678</v>
      </c>
    </row>
    <row r="44" spans="1:12" x14ac:dyDescent="0.25">
      <c r="A44" s="15" t="s">
        <v>76</v>
      </c>
      <c r="B44" s="22" t="s">
        <v>30</v>
      </c>
      <c r="C44" s="9">
        <v>65</v>
      </c>
      <c r="D44" s="9">
        <v>168</v>
      </c>
      <c r="E44" s="9">
        <v>78</v>
      </c>
      <c r="F44" s="9">
        <v>79</v>
      </c>
      <c r="G44" s="9">
        <v>60</v>
      </c>
      <c r="H44" s="9">
        <v>56</v>
      </c>
      <c r="I44" s="9">
        <v>111</v>
      </c>
      <c r="J44" s="9">
        <v>76</v>
      </c>
      <c r="K44" s="9">
        <v>54</v>
      </c>
      <c r="L44" s="9">
        <v>747</v>
      </c>
    </row>
    <row r="45" spans="1:12" x14ac:dyDescent="0.25">
      <c r="A45" s="15"/>
      <c r="B45" s="22" t="s">
        <v>29</v>
      </c>
      <c r="C45" s="10">
        <v>18.005540166204987</v>
      </c>
      <c r="D45" s="10">
        <v>22.76422764227642</v>
      </c>
      <c r="E45" s="10">
        <v>13.588850174216027</v>
      </c>
      <c r="F45" s="10">
        <v>14.468864468864471</v>
      </c>
      <c r="G45" s="10">
        <v>14.150943396226415</v>
      </c>
      <c r="H45" s="10">
        <v>17.12538226299694</v>
      </c>
      <c r="I45" s="10">
        <v>29.133858267716533</v>
      </c>
      <c r="J45" s="10">
        <v>26.950354609929079</v>
      </c>
      <c r="K45" s="10">
        <v>25.116279069767444</v>
      </c>
      <c r="L45" s="10">
        <v>19.412681912681911</v>
      </c>
    </row>
    <row r="46" spans="1:12" x14ac:dyDescent="0.25">
      <c r="A46" s="15" t="s">
        <v>68</v>
      </c>
      <c r="B46" s="22" t="s">
        <v>30</v>
      </c>
      <c r="C46" s="9">
        <v>197</v>
      </c>
      <c r="D46" s="9">
        <v>179</v>
      </c>
      <c r="E46" s="9">
        <v>52</v>
      </c>
      <c r="F46" s="9">
        <v>40</v>
      </c>
      <c r="G46" s="9">
        <v>45</v>
      </c>
      <c r="H46" s="9">
        <v>95</v>
      </c>
      <c r="I46" s="9">
        <v>166</v>
      </c>
      <c r="J46" s="9">
        <v>155</v>
      </c>
      <c r="K46" s="9">
        <v>152</v>
      </c>
      <c r="L46" s="9">
        <v>1081</v>
      </c>
    </row>
    <row r="47" spans="1:12" x14ac:dyDescent="0.25">
      <c r="A47" s="15"/>
      <c r="B47" s="22" t="s">
        <v>29</v>
      </c>
      <c r="C47" s="10">
        <v>54.570637119113577</v>
      </c>
      <c r="D47" s="10">
        <v>24.254742547425472</v>
      </c>
      <c r="E47" s="10">
        <v>9.0592334494773521</v>
      </c>
      <c r="F47" s="10">
        <v>7.3260073260073266</v>
      </c>
      <c r="G47" s="10">
        <v>10.613207547169811</v>
      </c>
      <c r="H47" s="10">
        <v>29.051987767584098</v>
      </c>
      <c r="I47" s="10">
        <v>43.569553805774284</v>
      </c>
      <c r="J47" s="10">
        <v>54.964539007092192</v>
      </c>
      <c r="K47" s="10">
        <v>70.697674418604649</v>
      </c>
      <c r="L47" s="10">
        <v>28.092515592515593</v>
      </c>
    </row>
    <row r="48" spans="1:12" x14ac:dyDescent="0.25">
      <c r="A48" s="15" t="s">
        <v>67</v>
      </c>
      <c r="B48" s="22" t="s">
        <v>30</v>
      </c>
      <c r="C48" s="9">
        <v>20</v>
      </c>
      <c r="D48" s="9">
        <v>134</v>
      </c>
      <c r="E48" s="9">
        <v>159</v>
      </c>
      <c r="F48" s="9">
        <v>159</v>
      </c>
      <c r="G48" s="9">
        <v>111</v>
      </c>
      <c r="H48" s="9">
        <v>63</v>
      </c>
      <c r="I48" s="9">
        <v>47</v>
      </c>
      <c r="J48" s="9">
        <v>31</v>
      </c>
      <c r="K48" s="9">
        <v>28</v>
      </c>
      <c r="L48" s="9">
        <v>752</v>
      </c>
    </row>
    <row r="49" spans="1:12" x14ac:dyDescent="0.25">
      <c r="A49" s="15"/>
      <c r="B49" s="22" t="s">
        <v>29</v>
      </c>
      <c r="C49" s="10">
        <v>5.5401662049861491</v>
      </c>
      <c r="D49" s="10">
        <v>18.157181571815716</v>
      </c>
      <c r="E49" s="10">
        <v>27.700348432055748</v>
      </c>
      <c r="F49" s="10">
        <v>29.120879120879124</v>
      </c>
      <c r="G49" s="10">
        <v>26.179245283018872</v>
      </c>
      <c r="H49" s="10">
        <v>19.26605504587156</v>
      </c>
      <c r="I49" s="10">
        <v>12.335958005249344</v>
      </c>
      <c r="J49" s="10">
        <v>10.99290780141844</v>
      </c>
      <c r="K49" s="10">
        <v>13.023255813953488</v>
      </c>
      <c r="L49" s="10">
        <v>19.542619542619544</v>
      </c>
    </row>
    <row r="50" spans="1:12" x14ac:dyDescent="0.25">
      <c r="A50" s="15" t="s">
        <v>70</v>
      </c>
      <c r="B50" s="22" t="s">
        <v>30</v>
      </c>
      <c r="C50" s="9">
        <v>75</v>
      </c>
      <c r="D50" s="9">
        <v>134</v>
      </c>
      <c r="E50" s="9">
        <v>34</v>
      </c>
      <c r="F50" s="9">
        <v>8</v>
      </c>
      <c r="G50" s="9">
        <v>17</v>
      </c>
      <c r="H50" s="9">
        <v>5</v>
      </c>
      <c r="I50" s="9">
        <v>2</v>
      </c>
      <c r="J50" s="9">
        <v>1</v>
      </c>
      <c r="K50" s="9">
        <v>0</v>
      </c>
      <c r="L50" s="9">
        <v>276</v>
      </c>
    </row>
    <row r="51" spans="1:12" x14ac:dyDescent="0.25">
      <c r="A51" s="15"/>
      <c r="B51" s="22" t="s">
        <v>29</v>
      </c>
      <c r="C51" s="10">
        <v>20.775623268698059</v>
      </c>
      <c r="D51" s="10">
        <v>18.157181571815716</v>
      </c>
      <c r="E51" s="10">
        <v>5.9233449477351918</v>
      </c>
      <c r="F51" s="10">
        <v>1.4652014652014651</v>
      </c>
      <c r="G51" s="10">
        <v>4.0094339622641506</v>
      </c>
      <c r="H51" s="10">
        <v>1.5290519877675841</v>
      </c>
      <c r="I51" s="10">
        <v>0.52493438320209973</v>
      </c>
      <c r="J51" s="10">
        <v>0.3546099290780142</v>
      </c>
      <c r="K51" s="10">
        <v>0</v>
      </c>
      <c r="L51" s="10">
        <v>7.1725571725571733</v>
      </c>
    </row>
    <row r="52" spans="1:12" x14ac:dyDescent="0.25">
      <c r="A52" s="15" t="s">
        <v>72</v>
      </c>
      <c r="B52" s="22" t="s">
        <v>30</v>
      </c>
      <c r="C52" s="9">
        <v>361</v>
      </c>
      <c r="D52" s="9">
        <v>738</v>
      </c>
      <c r="E52" s="9">
        <v>574</v>
      </c>
      <c r="F52" s="9">
        <v>546</v>
      </c>
      <c r="G52" s="9">
        <v>424</v>
      </c>
      <c r="H52" s="9">
        <v>327</v>
      </c>
      <c r="I52" s="9">
        <v>381</v>
      </c>
      <c r="J52" s="9">
        <v>282</v>
      </c>
      <c r="K52" s="9">
        <v>215</v>
      </c>
      <c r="L52" s="9">
        <v>3848</v>
      </c>
    </row>
    <row r="53" spans="1:12" x14ac:dyDescent="0.25">
      <c r="A53" s="15"/>
      <c r="B53" s="17" t="s">
        <v>29</v>
      </c>
      <c r="C53" s="8">
        <f>(C52/$L$52)*100</f>
        <v>9.3814968814968811</v>
      </c>
      <c r="D53" s="8">
        <f t="shared" ref="D53:K53" si="2">(D52/$L$52)*100</f>
        <v>19.178794178794178</v>
      </c>
      <c r="E53" s="8">
        <f t="shared" si="2"/>
        <v>14.916839916839916</v>
      </c>
      <c r="F53" s="8">
        <f t="shared" si="2"/>
        <v>14.189189189189189</v>
      </c>
      <c r="G53" s="8">
        <f t="shared" si="2"/>
        <v>11.01871101871102</v>
      </c>
      <c r="H53" s="8">
        <f t="shared" si="2"/>
        <v>8.497920997920998</v>
      </c>
      <c r="I53" s="8">
        <f t="shared" si="2"/>
        <v>9.9012474012474012</v>
      </c>
      <c r="J53" s="8">
        <f t="shared" si="2"/>
        <v>7.3284823284823286</v>
      </c>
      <c r="K53" s="8">
        <f t="shared" si="2"/>
        <v>5.5873180873180877</v>
      </c>
      <c r="L53" s="7"/>
    </row>
  </sheetData>
  <mergeCells count="8">
    <mergeCell ref="A39:A40"/>
    <mergeCell ref="B39:L40"/>
    <mergeCell ref="O6:R8"/>
    <mergeCell ref="O2:R4"/>
    <mergeCell ref="A1:A2"/>
    <mergeCell ref="B1:L2"/>
    <mergeCell ref="A20:A21"/>
    <mergeCell ref="B20:L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sexo2018</vt:lpstr>
      <vt:lpstr>sexo2019auto</vt:lpstr>
      <vt:lpstr>sexo</vt:lpstr>
      <vt:lpstr>Fext - 2018</vt:lpstr>
      <vt:lpstr>Fext - 2019</vt:lpstr>
      <vt:lpstr>Raça-2018</vt:lpstr>
      <vt:lpstr>Raça-2019</vt:lpstr>
      <vt:lpstr>TipodefxAgr.auto</vt:lpstr>
      <vt:lpstr>TipodefxAgr</vt:lpstr>
      <vt:lpstr>Agrxfxet80.auto</vt:lpstr>
      <vt:lpstr>Agrxfxet80</vt:lpstr>
      <vt:lpstr>fxet80_agre.auto</vt:lpstr>
      <vt:lpstr>tipodef_t_violência</vt:lpstr>
      <vt:lpstr>t_violência x fxet80</vt:lpstr>
      <vt:lpstr>Natureza da Violência</vt:lpstr>
      <vt:lpstr>tviol_ind_fxet80</vt:lpstr>
      <vt:lpstr>tipodef-tviol_ind</vt:lpstr>
      <vt:lpstr>fxet80_agre</vt:lpstr>
      <vt:lpstr>tviol_ind_fxet80_auto</vt:lpstr>
      <vt:lpstr>tipodef-tviol_ind_auto</vt:lpstr>
      <vt:lpstr>tipodef_t_violência_auto</vt:lpstr>
      <vt:lpstr>t_violência x fxet80_auto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Oliveira Accioly Lins</dc:creator>
  <cp:lastModifiedBy>Gabriel Lins</cp:lastModifiedBy>
  <cp:lastPrinted>2021-04-19T18:11:51Z</cp:lastPrinted>
  <dcterms:created xsi:type="dcterms:W3CDTF">2021-04-08T13:53:06Z</dcterms:created>
  <dcterms:modified xsi:type="dcterms:W3CDTF">2025-04-16T18:14:25Z</dcterms:modified>
</cp:coreProperties>
</file>