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c0a7f928100d84/2025/Textos IPEA/Atlas da Violência/"/>
    </mc:Choice>
  </mc:AlternateContent>
  <xr:revisionPtr revIDLastSave="0" documentId="8_{216BB574-B6A9-42D4-8CEF-D9EB61B2C9E6}" xr6:coauthVersionLast="47" xr6:coauthVersionMax="47" xr10:uidLastSave="{00000000-0000-0000-0000-000000000000}"/>
  <bookViews>
    <workbookView xWindow="-108" yWindow="-108" windowWidth="23256" windowHeight="12456" firstSheet="4" activeTab="4" xr2:uid="{CC873205-F769-488B-B1B0-AB8CFD394731}"/>
  </bookViews>
  <sheets>
    <sheet name="Tabela 9.11" sheetId="11" r:id="rId1"/>
    <sheet name="Tabela 9.12" sheetId="12" r:id="rId2"/>
    <sheet name="Figura 9.1" sheetId="13" r:id="rId3"/>
    <sheet name="Tabela 9.13" sheetId="15" r:id="rId4"/>
    <sheet name="Tabela 9.14" sheetId="5" r:id="rId5"/>
    <sheet name="Tabela 9.15" sheetId="3" r:id="rId6"/>
    <sheet name="Gráfico 9.4" sheetId="4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<sst xmlns="http://schemas.openxmlformats.org/spreadsheetml/2006/main" count="357" uniqueCount="288">
  <si>
    <t>Acre</t>
  </si>
  <si>
    <t>Alagoas</t>
  </si>
  <si>
    <t>Amapá</t>
  </si>
  <si>
    <t>Amazonas</t>
  </si>
  <si>
    <t>Bahia</t>
  </si>
  <si>
    <t>Ceará</t>
  </si>
  <si>
    <t>Distrito Federal</t>
  </si>
  <si>
    <t>Goiás</t>
  </si>
  <si>
    <t>Maranhão</t>
  </si>
  <si>
    <t>Mato Grosso</t>
  </si>
  <si>
    <t>Mato Grosso do Sul</t>
  </si>
  <si>
    <t>Minas Gerais</t>
  </si>
  <si>
    <t>Pará</t>
  </si>
  <si>
    <t>Paraná</t>
  </si>
  <si>
    <t>Pernambuco</t>
  </si>
  <si>
    <t>Rio Grande do Sul</t>
  </si>
  <si>
    <t>Rondônia</t>
  </si>
  <si>
    <t>Roraima</t>
  </si>
  <si>
    <t>Santa Catarina</t>
  </si>
  <si>
    <t>São Paulo</t>
  </si>
  <si>
    <t>Tocantins</t>
  </si>
  <si>
    <t>Parda</t>
  </si>
  <si>
    <t>Amarela</t>
  </si>
  <si>
    <t>Indígena</t>
  </si>
  <si>
    <t>Branca</t>
  </si>
  <si>
    <t>Preta</t>
  </si>
  <si>
    <t>Desconhecido</t>
  </si>
  <si>
    <t>Total</t>
  </si>
  <si>
    <t>902 (1.9%)</t>
  </si>
  <si>
    <t>115 (0.2%)</t>
  </si>
  <si>
    <t>944 (2.0%)</t>
  </si>
  <si>
    <t>162 (0.3%)</t>
  </si>
  <si>
    <t>154 (0.3%)</t>
  </si>
  <si>
    <t>492 (1.1%)</t>
  </si>
  <si>
    <t>158 (0.3%)</t>
  </si>
  <si>
    <t>701 (1.5%)</t>
  </si>
  <si>
    <t>176 (0.4%)</t>
  </si>
  <si>
    <t>286,165 (100.0%)</t>
  </si>
  <si>
    <t>etnia</t>
  </si>
  <si>
    <t>TERENA</t>
  </si>
  <si>
    <t>146,326 (100.0%)</t>
  </si>
  <si>
    <t>5,070 (100.0%)</t>
  </si>
  <si>
    <t>61,261 (100.0%)</t>
  </si>
  <si>
    <t>988 (100.0%)</t>
  </si>
  <si>
    <t>56,748 (100.0%)</t>
  </si>
  <si>
    <t>15,772 (100.0%)</t>
  </si>
  <si>
    <t>Não</t>
  </si>
  <si>
    <t>Sim</t>
  </si>
  <si>
    <t>140,287 (95.9%)</t>
  </si>
  <si>
    <t>6,039 (4.1%)</t>
  </si>
  <si>
    <t>4,816 (95.0%)</t>
  </si>
  <si>
    <t>254 (5.0%)</t>
  </si>
  <si>
    <t>58,783 (96.0%)</t>
  </si>
  <si>
    <t>2,478 (4.0%)</t>
  </si>
  <si>
    <t>962 (97.4%)</t>
  </si>
  <si>
    <t>26 (2.6%)</t>
  </si>
  <si>
    <t>54,546 (96.1%)</t>
  </si>
  <si>
    <t>2,202 (3.9%)</t>
  </si>
  <si>
    <t>15,047 (95.4%)</t>
  </si>
  <si>
    <t>725 (4.6%)</t>
  </si>
  <si>
    <t>274,441 (95.9%)</t>
  </si>
  <si>
    <t>11,724 (4.1%)</t>
  </si>
  <si>
    <t>Afogamento</t>
  </si>
  <si>
    <t>Contundente</t>
  </si>
  <si>
    <t>Enforcamento</t>
  </si>
  <si>
    <t>Envenenamento</t>
  </si>
  <si>
    <t>Fogo</t>
  </si>
  <si>
    <t>Impacto</t>
  </si>
  <si>
    <t>PAF</t>
  </si>
  <si>
    <t>Perfurante</t>
  </si>
  <si>
    <t>Veículo</t>
  </si>
  <si>
    <t>uf_resd</t>
  </si>
  <si>
    <t>ano_inter</t>
  </si>
  <si>
    <t>Sem Informação</t>
  </si>
  <si>
    <t>14.732 (28.6%)</t>
  </si>
  <si>
    <t>8.872 (17.2%)</t>
  </si>
  <si>
    <t>25.876 (50.2%)</t>
  </si>
  <si>
    <t>73 (0.1%)</t>
  </si>
  <si>
    <t>105 (0.2%)</t>
  </si>
  <si>
    <t>1.866 (3.6%)</t>
  </si>
  <si>
    <t>51.524 (100.0%)</t>
  </si>
  <si>
    <t>17.354 (33.7%)</t>
  </si>
  <si>
    <t>9.590 (18.6%)</t>
  </si>
  <si>
    <t>22.193 (43.1%)</t>
  </si>
  <si>
    <t>75 (0.1%)</t>
  </si>
  <si>
    <t>139 (0.3%)</t>
  </si>
  <si>
    <t>2.127 (4.1%)</t>
  </si>
  <si>
    <t>51.478 (100.0%)</t>
  </si>
  <si>
    <t>18.447 (36.2%)</t>
  </si>
  <si>
    <t>9.960 (19.6%)</t>
  </si>
  <si>
    <t>19.819 (38.9%)</t>
  </si>
  <si>
    <t>114 (0.2%)</t>
  </si>
  <si>
    <t>400 (0.8%)</t>
  </si>
  <si>
    <t>2.162 (4.2%)</t>
  </si>
  <si>
    <t>50.902 (100.0%)</t>
  </si>
  <si>
    <t>20.516 (39.3%)</t>
  </si>
  <si>
    <t>10.119 (19.4%)</t>
  </si>
  <si>
    <t>18.265 (35.0%)</t>
  </si>
  <si>
    <t>129 (0.2%)</t>
  </si>
  <si>
    <t>847 (1.6%)</t>
  </si>
  <si>
    <t>2.284 (4.4%)</t>
  </si>
  <si>
    <t>52.160 (100.0%)</t>
  </si>
  <si>
    <t>22.101 (42.1%)</t>
  </si>
  <si>
    <t>10.007 (19.1%)</t>
  </si>
  <si>
    <t>16.932 (32.3%)</t>
  </si>
  <si>
    <t>101 (0.2%)</t>
  </si>
  <si>
    <t>818 (1.6%)</t>
  </si>
  <si>
    <t>2.507 (4.8%)</t>
  </si>
  <si>
    <t>52.466 (100.0%)</t>
  </si>
  <si>
    <t>22.070 (45.4%)</t>
  </si>
  <si>
    <t>9.751 (20.0%)</t>
  </si>
  <si>
    <t>13.310 (27.4%)</t>
  </si>
  <si>
    <t>2.515 (5.2%)</t>
  </si>
  <si>
    <t>48.663 (100.0%)</t>
  </si>
  <si>
    <t>22.736 (48.3%)</t>
  </si>
  <si>
    <t>9.162 (19.4%)</t>
  </si>
  <si>
    <t>11.630 (24.7%)</t>
  </si>
  <si>
    <t>2.485 (5.3%)</t>
  </si>
  <si>
    <t>47.119 (100.0%)</t>
  </si>
  <si>
    <t>20.877 (46.6%)</t>
  </si>
  <si>
    <t>8.456 (18.9%)</t>
  </si>
  <si>
    <t>11.660 (26.0%)</t>
  </si>
  <si>
    <t>1.126 (2.5%)</t>
  </si>
  <si>
    <t>2.520 (5.6%)</t>
  </si>
  <si>
    <t>44.793 (100.0%)</t>
  </si>
  <si>
    <t>21.180 (46.8%)</t>
  </si>
  <si>
    <t>8.146 (18.0%)</t>
  </si>
  <si>
    <t>12.981 (28.7%)</t>
  </si>
  <si>
    <t>2.303 (5.1%)</t>
  </si>
  <si>
    <t>45.260 (100.0%)</t>
  </si>
  <si>
    <t>23.433 (51.6%)</t>
  </si>
  <si>
    <t>9.084 (20.0%)</t>
  </si>
  <si>
    <t>9.407 (20.7%)</t>
  </si>
  <si>
    <t>2.576 (5.7%)</t>
  </si>
  <si>
    <t>45.377 (100.0%)</t>
  </si>
  <si>
    <t>31.620 (67.8%)</t>
  </si>
  <si>
    <t>10.237 (21.9%)</t>
  </si>
  <si>
    <t>915  (2.0%)</t>
  </si>
  <si>
    <t>205 (0.4%)</t>
  </si>
  <si>
    <t>731 (1.6%)</t>
  </si>
  <si>
    <t>2.931 (6.3%)</t>
  </si>
  <si>
    <t>46.639 (100.0%)</t>
  </si>
  <si>
    <t>17.276 (70.9%)</t>
  </si>
  <si>
    <t>4.925 (20.2%)</t>
  </si>
  <si>
    <t>0  (0.0%)</t>
  </si>
  <si>
    <t>92 (0.4%)</t>
  </si>
  <si>
    <t>410 (1.7%)</t>
  </si>
  <si>
    <t>1.664 (6.8%)</t>
  </si>
  <si>
    <t>24.367 (100.0%)</t>
  </si>
  <si>
    <t>252.342 (45.0%)</t>
  </si>
  <si>
    <t>108.309 (19.3%)</t>
  </si>
  <si>
    <t>162.988 (29.1%)</t>
  </si>
  <si>
    <t>1.554 (0.3%)</t>
  </si>
  <si>
    <t>7.615 (1.4%)</t>
  </si>
  <si>
    <t>27.940 (5.0%)</t>
  </si>
  <si>
    <t>560.748 (100.0%)</t>
  </si>
  <si>
    <t>0   (0.0%)</t>
  </si>
  <si>
    <t>2   (0.1%)</t>
  </si>
  <si>
    <t>6   (0.4%)</t>
  </si>
  <si>
    <t>73 (100.0%)</t>
  </si>
  <si>
    <t>75 (100.0%)</t>
  </si>
  <si>
    <t>114 (100.0%)</t>
  </si>
  <si>
    <t>129 (100.0%)</t>
  </si>
  <si>
    <t>101 (100.0%)</t>
  </si>
  <si>
    <t>115 (100.0%)</t>
  </si>
  <si>
    <t>162 (100.0%)</t>
  </si>
  <si>
    <t>154 (100.0%)</t>
  </si>
  <si>
    <t>158 (100.0%)</t>
  </si>
  <si>
    <t>176 (100.0%)</t>
  </si>
  <si>
    <t>205 (100.0%)</t>
  </si>
  <si>
    <t>92 (100.0%)</t>
  </si>
  <si>
    <t>1.554 (100.0%)</t>
  </si>
  <si>
    <t>GUARANI KAIOWA</t>
  </si>
  <si>
    <t xml:space="preserve">KAINGANG </t>
  </si>
  <si>
    <t>KULINA/MADIHA</t>
  </si>
  <si>
    <t>GUAJAJARA</t>
  </si>
  <si>
    <t>MAKUXI</t>
  </si>
  <si>
    <t xml:space="preserve">MUNDURUKU </t>
  </si>
  <si>
    <t>APURINA</t>
  </si>
  <si>
    <t>TICUNA</t>
  </si>
  <si>
    <t>BORORO</t>
  </si>
  <si>
    <t xml:space="preserve">YANOMAMI YANOMAM </t>
  </si>
  <si>
    <t>Tabela 9.XX: número de internações causadas por agressões e intervenções legais, por etnia (10 maiores) - Brasil, 2013 a 2024.</t>
  </si>
  <si>
    <t>Gráfico 9.4: número de internações causadas por agressões e intervenções legais, por etnia (10 maiores) - Brasil, 2013 a 2024.</t>
  </si>
  <si>
    <t>Gráfico 9.5: número de internações causadas por agressões e intervenções legais, por ano e etnia (10 maiores) - Brasil, 2013 a 2024.</t>
  </si>
  <si>
    <t>Espirito Santo</t>
  </si>
  <si>
    <t>Soma</t>
  </si>
  <si>
    <t>Média</t>
  </si>
  <si>
    <t>Soma Acumulada</t>
  </si>
  <si>
    <t>Contagem</t>
  </si>
  <si>
    <r>
      <t>Tabela 9.11: Número e percentual de internações decorrentes de agressão ou intervenção legal, por raça (2013-2024)</t>
    </r>
    <r>
      <rPr>
        <b/>
        <sz val="11"/>
        <color rgb="FF000000"/>
        <rFont val="Aptos"/>
        <family val="2"/>
      </rPr>
      <t xml:space="preserve"> </t>
    </r>
  </si>
  <si>
    <t>Tabela 9.12 - Distribuição do sexo do internado/vítima, por raça/cor (2013 a 2024)</t>
  </si>
  <si>
    <t>Sexo/Raça\cor</t>
  </si>
  <si>
    <t>Homem</t>
  </si>
  <si>
    <t>Mulher</t>
  </si>
  <si>
    <t>213.991 (84.8%)</t>
  </si>
  <si>
    <t>38.351 (15.2%)</t>
  </si>
  <si>
    <t>252.342 (100.0%)</t>
  </si>
  <si>
    <t>88.961 (82.1%)</t>
  </si>
  <si>
    <t>19.348 (17.9%)</t>
  </si>
  <si>
    <t>108.309 (100.0%)</t>
  </si>
  <si>
    <t>136.958 (84.0%)</t>
  </si>
  <si>
    <t>26.030 (16.0%)</t>
  </si>
  <si>
    <t>162.988 (100.0%)</t>
  </si>
  <si>
    <t>1.172 (75.4%)</t>
  </si>
  <si>
    <t>382 (24.6%)</t>
  </si>
  <si>
    <t>6.466 (84.9%)</t>
  </si>
  <si>
    <t>1.149 (15.1%)</t>
  </si>
  <si>
    <t>7.615 (100.0%)</t>
  </si>
  <si>
    <t>24.149 (86.4%)</t>
  </si>
  <si>
    <t>3.791 (13.6%)</t>
  </si>
  <si>
    <t>27.940 (100.0%)</t>
  </si>
  <si>
    <t>471.697 (84.1%)</t>
  </si>
  <si>
    <t>89.051 (15.9%)</t>
  </si>
  <si>
    <t>Fonte: Sistema de Informações de Internação Hospitalar (SIH)</t>
  </si>
  <si>
    <t>Figura 9.1 Perfil de internação por idade e raça (Brasil, 2013 a 2024)</t>
  </si>
  <si>
    <t xml:space="preserve">idade </t>
  </si>
  <si>
    <t xml:space="preserve">Amarela </t>
  </si>
  <si>
    <t xml:space="preserve">Preta </t>
  </si>
  <si>
    <t>Tabela 9.13  Instrumento causador da internação, por raça (Brasil, 2013 a 2024)</t>
  </si>
  <si>
    <t>Instrumento/Raça\cor</t>
  </si>
  <si>
    <t>164   (0.1%)</t>
  </si>
  <si>
    <t>50   (0.0%)</t>
  </si>
  <si>
    <t>148   (0.1%)</t>
  </si>
  <si>
    <t>17   (0.1%)</t>
  </si>
  <si>
    <t>379   (0.1%)</t>
  </si>
  <si>
    <t>62.933  (24.9%)</t>
  </si>
  <si>
    <t>40.858  (37.7%)</t>
  </si>
  <si>
    <t>39.655  (24.3%)</t>
  </si>
  <si>
    <t>435  (28.0%)</t>
  </si>
  <si>
    <t>1.773  (23.3%)</t>
  </si>
  <si>
    <t>9.328  (33.4%)</t>
  </si>
  <si>
    <t>154.982  (27.6%)</t>
  </si>
  <si>
    <t>25.344  (10.0%)</t>
  </si>
  <si>
    <t>12.659  (11.7%)</t>
  </si>
  <si>
    <t>26.066  (16.0%)</t>
  </si>
  <si>
    <t>118   (7.6%)</t>
  </si>
  <si>
    <t>526   (6.9%)</t>
  </si>
  <si>
    <t>3.236  (11.6%)</t>
  </si>
  <si>
    <t>67.949  (12.1%)</t>
  </si>
  <si>
    <t>329   (0.1%)</t>
  </si>
  <si>
    <t>223   (0.2%)</t>
  </si>
  <si>
    <t>141   (0.1%)</t>
  </si>
  <si>
    <t>8   (0.1%)</t>
  </si>
  <si>
    <t>38   (0.1%)</t>
  </si>
  <si>
    <t>741   (0.1%)</t>
  </si>
  <si>
    <t>2.067   (0.8%)</t>
  </si>
  <si>
    <t>1.543   (1.4%)</t>
  </si>
  <si>
    <t>1.148   (0.7%)</t>
  </si>
  <si>
    <t>54   (0.7%)</t>
  </si>
  <si>
    <t>195   (0.7%)</t>
  </si>
  <si>
    <t>5.013   (0.9%)</t>
  </si>
  <si>
    <t>2.343   (0.9%)</t>
  </si>
  <si>
    <t>984   (0.9%)</t>
  </si>
  <si>
    <t>1.018   (0.6%)</t>
  </si>
  <si>
    <t>33   (2.1%)</t>
  </si>
  <si>
    <t>46   (0.6%)</t>
  </si>
  <si>
    <t>221   (0.8%)</t>
  </si>
  <si>
    <t>4.645   (0.8%)</t>
  </si>
  <si>
    <t>2.129   (0.8%)</t>
  </si>
  <si>
    <t>2.409   (2.2%)</t>
  </si>
  <si>
    <t>1.183   (0.7%)</t>
  </si>
  <si>
    <t>78   (1.0%)</t>
  </si>
  <si>
    <t>269   (1.0%)</t>
  </si>
  <si>
    <t>6.074   (1.1%)</t>
  </si>
  <si>
    <t>79.342  (31.4%)</t>
  </si>
  <si>
    <t>24.330  (22.5%)</t>
  </si>
  <si>
    <t>53.635  (32.9%)</t>
  </si>
  <si>
    <t>221  (14.2%)</t>
  </si>
  <si>
    <t>2.880  (37.8%)</t>
  </si>
  <si>
    <t>8.461  (30.3%)</t>
  </si>
  <si>
    <t>168.869  (30.1%)</t>
  </si>
  <si>
    <t>58.735  (23.3%)</t>
  </si>
  <si>
    <t>22.245  (20.5%)</t>
  </si>
  <si>
    <t>37.226  (22.8%)</t>
  </si>
  <si>
    <t>687  (44.2%)</t>
  </si>
  <si>
    <t>2.109  (27.7%)</t>
  </si>
  <si>
    <t>5.087  (18.2%)</t>
  </si>
  <si>
    <t>126.089  (22.5%)</t>
  </si>
  <si>
    <t>18.956   (7.5%)</t>
  </si>
  <si>
    <t>3.008   (2.8%)</t>
  </si>
  <si>
    <t>2.768   (1.7%)</t>
  </si>
  <si>
    <t>46   (3.0%)</t>
  </si>
  <si>
    <t>141   (1.9%)</t>
  </si>
  <si>
    <t>1.088   (3.9%)</t>
  </si>
  <si>
    <t>26.007   (4.6%)</t>
  </si>
  <si>
    <t>Tabela 9.14: Número e percentual de internações que decorrem em óbito, por raça (Brasil, 2017 a 2024)</t>
  </si>
  <si>
    <t>Tabela 9.15: Número de internações de indígenas causadas por agressão ou internveção legal, por UF de residência (2017 a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</si>
</sst>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333333"/>
      <name val="Georgia"/>
      <family val="1"/>
    </font>
    <font>
      <b/>
      <sz val="11"/>
      <color theme="1"/>
      <name val="Aptos"/>
      <family val="2"/>
    </font>
    <font>
      <b/>
      <sz val="10"/>
      <color rgb="FF333333"/>
      <name val="Georgia"/>
      <family val="1"/>
    </font>
    <font>
      <i/>
      <sz val="10"/>
      <color rgb="FF333333"/>
      <name val="Georgia"/>
      <family val="1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left" vertical="top" wrapText="1"/>
    </xf>
    <xf numFmtId="0" fontId="0" fillId="0" borderId="2" xfId="0" applyBorder="1"/>
    <xf numFmtId="0" fontId="6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NumberFormat="1" applyProtection="1"/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'Figura 9.1'!$A$5</c:f>
              <c:strCache>
                <c:ptCount val="1"/>
                <c:pt idx="0">
                  <c:v>idade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'Figura 9.1'!$A$6:$A$26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6-4E39-A126-DF0EB6CCA991}"/>
            </c:ext>
          </c:extLst>
        </c:ser>
        <c:ser>
          <c:idx val="1"/>
          <c:order val="1"/>
          <c:tx>
            <c:strRef>
              <c:f>'Figura 9.1'!$B$5</c:f>
              <c:strCache>
                <c:ptCount val="1"/>
                <c:pt idx="0">
                  <c:v>Parda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'Figura 9.1'!$B$6:$B$26</c:f>
              <c:numCache>
                <c:formatCode>General</c:formatCode>
                <c:ptCount val="21"/>
                <c:pt idx="0">
                  <c:v>7.0000000000000007E-2</c:v>
                </c:pt>
                <c:pt idx="1">
                  <c:v>1.61</c:v>
                </c:pt>
                <c:pt idx="2">
                  <c:v>2.98</c:v>
                </c:pt>
                <c:pt idx="3">
                  <c:v>6.03</c:v>
                </c:pt>
                <c:pt idx="4">
                  <c:v>19.71</c:v>
                </c:pt>
                <c:pt idx="5">
                  <c:v>35.81</c:v>
                </c:pt>
                <c:pt idx="6">
                  <c:v>50.08</c:v>
                </c:pt>
                <c:pt idx="7">
                  <c:v>62.88</c:v>
                </c:pt>
                <c:pt idx="8">
                  <c:v>73.7</c:v>
                </c:pt>
                <c:pt idx="9">
                  <c:v>81.99</c:v>
                </c:pt>
                <c:pt idx="10">
                  <c:v>87.95</c:v>
                </c:pt>
                <c:pt idx="11">
                  <c:v>92.17</c:v>
                </c:pt>
                <c:pt idx="12">
                  <c:v>95.1</c:v>
                </c:pt>
                <c:pt idx="13">
                  <c:v>97.02</c:v>
                </c:pt>
                <c:pt idx="14">
                  <c:v>98.21</c:v>
                </c:pt>
                <c:pt idx="15">
                  <c:v>98.97</c:v>
                </c:pt>
                <c:pt idx="16">
                  <c:v>99.45</c:v>
                </c:pt>
                <c:pt idx="17">
                  <c:v>99.76</c:v>
                </c:pt>
                <c:pt idx="18">
                  <c:v>99.92</c:v>
                </c:pt>
                <c:pt idx="19">
                  <c:v>99.98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A6-4E39-A126-DF0EB6CCA991}"/>
            </c:ext>
          </c:extLst>
        </c:ser>
        <c:ser>
          <c:idx val="2"/>
          <c:order val="2"/>
          <c:tx>
            <c:strRef>
              <c:f>'Figura 9.1'!$C$5</c:f>
              <c:strCache>
                <c:ptCount val="1"/>
                <c:pt idx="0">
                  <c:v>Branca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'Figura 9.1'!$C$6:$C$26</c:f>
              <c:numCache>
                <c:formatCode>General</c:formatCode>
                <c:ptCount val="21"/>
                <c:pt idx="0">
                  <c:v>0.04</c:v>
                </c:pt>
                <c:pt idx="1">
                  <c:v>1.64</c:v>
                </c:pt>
                <c:pt idx="2">
                  <c:v>2.84</c:v>
                </c:pt>
                <c:pt idx="3">
                  <c:v>5.26</c:v>
                </c:pt>
                <c:pt idx="4">
                  <c:v>16.16</c:v>
                </c:pt>
                <c:pt idx="5">
                  <c:v>30.17</c:v>
                </c:pt>
                <c:pt idx="6">
                  <c:v>43.27</c:v>
                </c:pt>
                <c:pt idx="7">
                  <c:v>55.67</c:v>
                </c:pt>
                <c:pt idx="8">
                  <c:v>66.819999999999993</c:v>
                </c:pt>
                <c:pt idx="9">
                  <c:v>75.87</c:v>
                </c:pt>
                <c:pt idx="10">
                  <c:v>82.78</c:v>
                </c:pt>
                <c:pt idx="11">
                  <c:v>88.12</c:v>
                </c:pt>
                <c:pt idx="12">
                  <c:v>92.17</c:v>
                </c:pt>
                <c:pt idx="13">
                  <c:v>95</c:v>
                </c:pt>
                <c:pt idx="14">
                  <c:v>96.8</c:v>
                </c:pt>
                <c:pt idx="15">
                  <c:v>98.08</c:v>
                </c:pt>
                <c:pt idx="16">
                  <c:v>99</c:v>
                </c:pt>
                <c:pt idx="17">
                  <c:v>99.59</c:v>
                </c:pt>
                <c:pt idx="18">
                  <c:v>99.88</c:v>
                </c:pt>
                <c:pt idx="19">
                  <c:v>99.98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A6-4E39-A126-DF0EB6CCA991}"/>
            </c:ext>
          </c:extLst>
        </c:ser>
        <c:ser>
          <c:idx val="3"/>
          <c:order val="3"/>
          <c:tx>
            <c:strRef>
              <c:f>'Figura 9.1'!$D$5</c:f>
              <c:strCache>
                <c:ptCount val="1"/>
                <c:pt idx="0">
                  <c:v>Indígena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'Figura 9.1'!$D$6:$D$26</c:f>
              <c:numCache>
                <c:formatCode>General</c:formatCode>
                <c:ptCount val="21"/>
                <c:pt idx="0">
                  <c:v>0.19</c:v>
                </c:pt>
                <c:pt idx="1">
                  <c:v>3.8</c:v>
                </c:pt>
                <c:pt idx="2">
                  <c:v>8.17</c:v>
                </c:pt>
                <c:pt idx="3">
                  <c:v>14.35</c:v>
                </c:pt>
                <c:pt idx="4">
                  <c:v>30.76</c:v>
                </c:pt>
                <c:pt idx="5">
                  <c:v>47.88</c:v>
                </c:pt>
                <c:pt idx="6">
                  <c:v>62.03</c:v>
                </c:pt>
                <c:pt idx="7">
                  <c:v>72.069999999999993</c:v>
                </c:pt>
                <c:pt idx="8">
                  <c:v>80.239999999999995</c:v>
                </c:pt>
                <c:pt idx="9">
                  <c:v>87.19</c:v>
                </c:pt>
                <c:pt idx="10">
                  <c:v>91.57</c:v>
                </c:pt>
                <c:pt idx="11">
                  <c:v>93.89</c:v>
                </c:pt>
                <c:pt idx="12">
                  <c:v>96.01</c:v>
                </c:pt>
                <c:pt idx="13">
                  <c:v>97.49</c:v>
                </c:pt>
                <c:pt idx="14">
                  <c:v>98.07</c:v>
                </c:pt>
                <c:pt idx="15">
                  <c:v>98.71</c:v>
                </c:pt>
                <c:pt idx="16">
                  <c:v>99.29</c:v>
                </c:pt>
                <c:pt idx="17">
                  <c:v>99.61</c:v>
                </c:pt>
                <c:pt idx="18">
                  <c:v>99.74</c:v>
                </c:pt>
                <c:pt idx="19">
                  <c:v>99.94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A6-4E39-A126-DF0EB6CCA991}"/>
            </c:ext>
          </c:extLst>
        </c:ser>
        <c:ser>
          <c:idx val="4"/>
          <c:order val="4"/>
          <c:tx>
            <c:strRef>
              <c:f>'Figura 9.1'!$E$5</c:f>
              <c:strCache>
                <c:ptCount val="1"/>
                <c:pt idx="0">
                  <c:v>Preta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'Figura 9.1'!$E$6:$E$26</c:f>
              <c:numCache>
                <c:formatCode>General</c:formatCode>
                <c:ptCount val="21"/>
                <c:pt idx="0">
                  <c:v>0.04</c:v>
                </c:pt>
                <c:pt idx="1">
                  <c:v>0.76</c:v>
                </c:pt>
                <c:pt idx="2">
                  <c:v>1.49</c:v>
                </c:pt>
                <c:pt idx="3">
                  <c:v>3.9</c:v>
                </c:pt>
                <c:pt idx="4">
                  <c:v>16.27</c:v>
                </c:pt>
                <c:pt idx="5">
                  <c:v>31.97</c:v>
                </c:pt>
                <c:pt idx="6">
                  <c:v>47.12</c:v>
                </c:pt>
                <c:pt idx="7">
                  <c:v>61.21</c:v>
                </c:pt>
                <c:pt idx="8">
                  <c:v>73.63</c:v>
                </c:pt>
                <c:pt idx="9">
                  <c:v>82.75</c:v>
                </c:pt>
                <c:pt idx="10">
                  <c:v>88.95</c:v>
                </c:pt>
                <c:pt idx="11">
                  <c:v>93.19</c:v>
                </c:pt>
                <c:pt idx="12">
                  <c:v>95.98</c:v>
                </c:pt>
                <c:pt idx="13">
                  <c:v>97.7</c:v>
                </c:pt>
                <c:pt idx="14">
                  <c:v>98.74</c:v>
                </c:pt>
                <c:pt idx="15">
                  <c:v>99.32</c:v>
                </c:pt>
                <c:pt idx="16">
                  <c:v>99.68</c:v>
                </c:pt>
                <c:pt idx="17">
                  <c:v>99.83</c:v>
                </c:pt>
                <c:pt idx="18">
                  <c:v>99.94</c:v>
                </c:pt>
                <c:pt idx="19">
                  <c:v>99.97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A6-4E39-A126-DF0EB6CCA991}"/>
            </c:ext>
          </c:extLst>
        </c:ser>
        <c:ser>
          <c:idx val="5"/>
          <c:order val="5"/>
          <c:tx>
            <c:strRef>
              <c:f>'Figura 9.1'!$F$5</c:f>
              <c:strCache>
                <c:ptCount val="1"/>
                <c:pt idx="0">
                  <c:v>Amarela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'Figura 9.1'!$F$6:$F$26</c:f>
              <c:numCache>
                <c:formatCode>General</c:formatCode>
                <c:ptCount val="21"/>
                <c:pt idx="0">
                  <c:v>0</c:v>
                </c:pt>
                <c:pt idx="1">
                  <c:v>0.59</c:v>
                </c:pt>
                <c:pt idx="2">
                  <c:v>1.65</c:v>
                </c:pt>
                <c:pt idx="3">
                  <c:v>4.28</c:v>
                </c:pt>
                <c:pt idx="4">
                  <c:v>17.98</c:v>
                </c:pt>
                <c:pt idx="5">
                  <c:v>35.229999999999997</c:v>
                </c:pt>
                <c:pt idx="6">
                  <c:v>49.82</c:v>
                </c:pt>
                <c:pt idx="7">
                  <c:v>62.68</c:v>
                </c:pt>
                <c:pt idx="8">
                  <c:v>73.67</c:v>
                </c:pt>
                <c:pt idx="9">
                  <c:v>81.52</c:v>
                </c:pt>
                <c:pt idx="10">
                  <c:v>87.08</c:v>
                </c:pt>
                <c:pt idx="11">
                  <c:v>91.57</c:v>
                </c:pt>
                <c:pt idx="12">
                  <c:v>94.46</c:v>
                </c:pt>
                <c:pt idx="13">
                  <c:v>96.6</c:v>
                </c:pt>
                <c:pt idx="14">
                  <c:v>97.96</c:v>
                </c:pt>
                <c:pt idx="15">
                  <c:v>98.67</c:v>
                </c:pt>
                <c:pt idx="16">
                  <c:v>99.32</c:v>
                </c:pt>
                <c:pt idx="17">
                  <c:v>99.68</c:v>
                </c:pt>
                <c:pt idx="18">
                  <c:v>99.92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A6-4E39-A126-DF0EB6CCA991}"/>
            </c:ext>
          </c:extLst>
        </c:ser>
        <c:ser>
          <c:idx val="6"/>
          <c:order val="6"/>
          <c:tx>
            <c:strRef>
              <c:f>'Figura 9.1'!$G$5</c:f>
              <c:strCache>
                <c:ptCount val="1"/>
                <c:pt idx="0">
                  <c:v>Desconhecido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'Figura 9.1'!$G$6:$G$26</c:f>
              <c:numCache>
                <c:formatCode>General</c:formatCode>
                <c:ptCount val="21"/>
                <c:pt idx="0">
                  <c:v>0.12</c:v>
                </c:pt>
                <c:pt idx="1">
                  <c:v>1.64</c:v>
                </c:pt>
                <c:pt idx="2">
                  <c:v>3.4</c:v>
                </c:pt>
                <c:pt idx="3">
                  <c:v>7.07</c:v>
                </c:pt>
                <c:pt idx="4">
                  <c:v>21.61</c:v>
                </c:pt>
                <c:pt idx="5">
                  <c:v>37.54</c:v>
                </c:pt>
                <c:pt idx="6">
                  <c:v>51.59</c:v>
                </c:pt>
                <c:pt idx="7">
                  <c:v>63.99</c:v>
                </c:pt>
                <c:pt idx="8">
                  <c:v>74.209999999999994</c:v>
                </c:pt>
                <c:pt idx="9">
                  <c:v>81.89</c:v>
                </c:pt>
                <c:pt idx="10">
                  <c:v>87.55</c:v>
                </c:pt>
                <c:pt idx="11">
                  <c:v>91.71</c:v>
                </c:pt>
                <c:pt idx="12">
                  <c:v>94.59</c:v>
                </c:pt>
                <c:pt idx="13">
                  <c:v>96.52</c:v>
                </c:pt>
                <c:pt idx="14">
                  <c:v>97.79</c:v>
                </c:pt>
                <c:pt idx="15">
                  <c:v>98.65</c:v>
                </c:pt>
                <c:pt idx="16">
                  <c:v>99.28</c:v>
                </c:pt>
                <c:pt idx="17">
                  <c:v>99.68</c:v>
                </c:pt>
                <c:pt idx="18">
                  <c:v>99.89</c:v>
                </c:pt>
                <c:pt idx="19">
                  <c:v>99.98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A6-4E39-A126-DF0EB6CCA99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878767"/>
        <c:axId val="419873487"/>
      </c:lineChart>
      <c:catAx>
        <c:axId val="41987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9873487"/>
        <c:crossesAt val="0"/>
        <c:auto val="1"/>
        <c:lblAlgn val="ctr"/>
        <c:lblOffset val="100"/>
        <c:noMultiLvlLbl val="0"/>
      </c:catAx>
      <c:valAx>
        <c:axId val="41987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987876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9.4'!$A$29</c:f>
              <c:strCache>
                <c:ptCount val="1"/>
                <c:pt idx="0">
                  <c:v>GUARANI KAIOWA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9.4'!$B$29:$M$29</c:f>
              <c:numCache>
                <c:formatCode>General</c:formatCode>
                <c:ptCount val="12"/>
                <c:pt idx="0">
                  <c:v>32</c:v>
                </c:pt>
                <c:pt idx="1">
                  <c:v>44</c:v>
                </c:pt>
                <c:pt idx="2">
                  <c:v>45</c:v>
                </c:pt>
                <c:pt idx="3">
                  <c:v>48</c:v>
                </c:pt>
                <c:pt idx="4">
                  <c:v>33</c:v>
                </c:pt>
                <c:pt idx="5">
                  <c:v>39</c:v>
                </c:pt>
                <c:pt idx="6">
                  <c:v>54</c:v>
                </c:pt>
                <c:pt idx="7">
                  <c:v>53</c:v>
                </c:pt>
                <c:pt idx="8">
                  <c:v>48</c:v>
                </c:pt>
                <c:pt idx="9">
                  <c:v>64</c:v>
                </c:pt>
                <c:pt idx="10">
                  <c:v>69</c:v>
                </c:pt>
                <c:pt idx="1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3-4853-94B6-83523E507EB7}"/>
            </c:ext>
          </c:extLst>
        </c:ser>
        <c:ser>
          <c:idx val="1"/>
          <c:order val="1"/>
          <c:tx>
            <c:strRef>
              <c:f>'Gráfico 9.4'!$A$30</c:f>
              <c:strCache>
                <c:ptCount val="1"/>
                <c:pt idx="0">
                  <c:v>KAINGANG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9.4'!$B$30:$M$30</c:f>
              <c:numCache>
                <c:formatCode>General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13</c:v>
                </c:pt>
                <c:pt idx="3">
                  <c:v>23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15</c:v>
                </c:pt>
                <c:pt idx="9">
                  <c:v>14</c:v>
                </c:pt>
                <c:pt idx="10">
                  <c:v>15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3-4853-94B6-83523E507EB7}"/>
            </c:ext>
          </c:extLst>
        </c:ser>
        <c:ser>
          <c:idx val="2"/>
          <c:order val="2"/>
          <c:tx>
            <c:strRef>
              <c:f>'Gráfico 9.4'!$A$31</c:f>
              <c:strCache>
                <c:ptCount val="1"/>
                <c:pt idx="0">
                  <c:v>TERENA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9.4'!$B$31:$M$31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3-4853-94B6-83523E507EB7}"/>
            </c:ext>
          </c:extLst>
        </c:ser>
        <c:ser>
          <c:idx val="3"/>
          <c:order val="3"/>
          <c:tx>
            <c:strRef>
              <c:f>'Gráfico 9.4'!$A$32</c:f>
              <c:strCache>
                <c:ptCount val="1"/>
                <c:pt idx="0">
                  <c:v>KULINA/MADIHA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9.4'!$B$32:$M$32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13-4853-94B6-83523E507EB7}"/>
            </c:ext>
          </c:extLst>
        </c:ser>
        <c:ser>
          <c:idx val="4"/>
          <c:order val="4"/>
          <c:tx>
            <c:strRef>
              <c:f>'Gráfico 9.4'!$A$33</c:f>
              <c:strCache>
                <c:ptCount val="1"/>
                <c:pt idx="0">
                  <c:v>GUAJAJARA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9.4'!$B$33:$M$33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5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13-4853-94B6-83523E507EB7}"/>
            </c:ext>
          </c:extLst>
        </c:ser>
        <c:ser>
          <c:idx val="5"/>
          <c:order val="5"/>
          <c:tx>
            <c:strRef>
              <c:f>'Gráfico 9.4'!$A$34</c:f>
              <c:strCache>
                <c:ptCount val="1"/>
                <c:pt idx="0">
                  <c:v>MAKUXI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9.4'!$B$34:$M$34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8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13-4853-94B6-83523E507EB7}"/>
            </c:ext>
          </c:extLst>
        </c:ser>
        <c:ser>
          <c:idx val="6"/>
          <c:order val="6"/>
          <c:tx>
            <c:strRef>
              <c:f>'Gráfico 9.4'!$A$35</c:f>
              <c:strCache>
                <c:ptCount val="1"/>
                <c:pt idx="0">
                  <c:v>MUNDURUKU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9.4'!$B$35:$M$35</c:f>
              <c:numCache>
                <c:formatCode>General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13-4853-94B6-83523E507EB7}"/>
            </c:ext>
          </c:extLst>
        </c:ser>
        <c:ser>
          <c:idx val="7"/>
          <c:order val="7"/>
          <c:tx>
            <c:strRef>
              <c:f>'Gráfico 9.4'!$A$36</c:f>
              <c:strCache>
                <c:ptCount val="1"/>
                <c:pt idx="0">
                  <c:v>APURINA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9.4'!$B$36:$M$36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13-4853-94B6-83523E507EB7}"/>
            </c:ext>
          </c:extLst>
        </c:ser>
        <c:ser>
          <c:idx val="8"/>
          <c:order val="8"/>
          <c:tx>
            <c:strRef>
              <c:f>'Gráfico 9.4'!$A$37</c:f>
              <c:strCache>
                <c:ptCount val="1"/>
                <c:pt idx="0">
                  <c:v>TICUNA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9.4'!$B$37:$M$37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9</c:v>
                </c:pt>
                <c:pt idx="9">
                  <c:v>8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13-4853-94B6-83523E507EB7}"/>
            </c:ext>
          </c:extLst>
        </c:ser>
        <c:ser>
          <c:idx val="9"/>
          <c:order val="9"/>
          <c:tx>
            <c:strRef>
              <c:f>'Gráfico 9.4'!$A$38</c:f>
              <c:strCache>
                <c:ptCount val="1"/>
                <c:pt idx="0">
                  <c:v>BORORO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9.4'!$B$38:$M$38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12</c:v>
                </c:pt>
                <c:pt idx="7">
                  <c:v>12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13-4853-94B6-83523E507EB7}"/>
            </c:ext>
          </c:extLst>
        </c:ser>
        <c:ser>
          <c:idx val="10"/>
          <c:order val="10"/>
          <c:tx>
            <c:strRef>
              <c:f>'Gráfico 9.4'!$A$39</c:f>
              <c:strCache>
                <c:ptCount val="1"/>
                <c:pt idx="0">
                  <c:v>YANOMAMI YANOMAM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'Gráfico 9.4'!$B$28:$M$28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'Gráfico 9.4'!$B$39:$M$39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13-4853-94B6-83523E507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70975"/>
        <c:axId val="141174335"/>
      </c:barChart>
      <c:catAx>
        <c:axId val="14117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174335"/>
        <c:crosses val="autoZero"/>
        <c:auto val="1"/>
        <c:lblAlgn val="ctr"/>
        <c:lblOffset val="100"/>
        <c:noMultiLvlLbl val="0"/>
      </c:catAx>
      <c:valAx>
        <c:axId val="14117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17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9.4'!$Q$29:$Q$39</c:f>
              <c:strCache>
                <c:ptCount val="11"/>
                <c:pt idx="0">
                  <c:v>GUARANI KAIOWA</c:v>
                </c:pt>
                <c:pt idx="1">
                  <c:v>KAINGANG </c:v>
                </c:pt>
                <c:pt idx="2">
                  <c:v>TERENA</c:v>
                </c:pt>
                <c:pt idx="3">
                  <c:v>KULINA/MADIHA</c:v>
                </c:pt>
                <c:pt idx="4">
                  <c:v>GUAJAJARA</c:v>
                </c:pt>
                <c:pt idx="5">
                  <c:v>MAKUXI</c:v>
                </c:pt>
                <c:pt idx="6">
                  <c:v>MUNDURUKU </c:v>
                </c:pt>
                <c:pt idx="7">
                  <c:v>APURINA</c:v>
                </c:pt>
                <c:pt idx="8">
                  <c:v>TICUNA</c:v>
                </c:pt>
                <c:pt idx="9">
                  <c:v>BORORO</c:v>
                </c:pt>
                <c:pt idx="10">
                  <c:v>YANOMAMI YANOMAM </c:v>
                </c:pt>
              </c:strCache>
            </c:strRef>
          </c:cat>
          <c:val>
            <c:numRef>
              <c:f>'Gráfico 9.4'!$R$29:$R$39</c:f>
              <c:numCache>
                <c:formatCode>General</c:formatCode>
                <c:ptCount val="11"/>
                <c:pt idx="0">
                  <c:v>574</c:v>
                </c:pt>
                <c:pt idx="1">
                  <c:v>142</c:v>
                </c:pt>
                <c:pt idx="2">
                  <c:v>66</c:v>
                </c:pt>
                <c:pt idx="3">
                  <c:v>62</c:v>
                </c:pt>
                <c:pt idx="4">
                  <c:v>61</c:v>
                </c:pt>
                <c:pt idx="5">
                  <c:v>40</c:v>
                </c:pt>
                <c:pt idx="6">
                  <c:v>39</c:v>
                </c:pt>
                <c:pt idx="7">
                  <c:v>34</c:v>
                </c:pt>
                <c:pt idx="8">
                  <c:v>34</c:v>
                </c:pt>
                <c:pt idx="9">
                  <c:v>31</c:v>
                </c:pt>
                <c:pt idx="1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9-430F-9302-DC0B72CCDA8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3</xdr:row>
      <xdr:rowOff>3810</xdr:rowOff>
    </xdr:from>
    <xdr:to>
      <xdr:col>15</xdr:col>
      <xdr:colOff>167640</xdr:colOff>
      <xdr:row>18</xdr:row>
      <xdr:rowOff>3810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A09AAD6-08BB-4D29-BCA4-ECF7FF297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26</xdr:col>
      <xdr:colOff>457200</xdr:colOff>
      <xdr:row>60</xdr:row>
      <xdr:rowOff>15240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E849596-25D0-1C17-8F4D-3A7DC508C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3520" y="3840480"/>
          <a:ext cx="11430000" cy="714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3</xdr:row>
      <xdr:rowOff>114300</xdr:rowOff>
    </xdr:from>
    <xdr:to>
      <xdr:col>10</xdr:col>
      <xdr:colOff>358140</xdr:colOff>
      <xdr:row>21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C31476-01B9-4BBB-BAFD-E037D6280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198120</xdr:colOff>
      <xdr:row>3</xdr:row>
      <xdr:rowOff>144780</xdr:rowOff>
    </xdr:from>
    <xdr:to>
      <xdr:col>19</xdr:col>
      <xdr:colOff>289560</xdr:colOff>
      <xdr:row>20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67C9AB-8F14-BEAC-8BC4-62CCCBCD5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EB37-6FF3-4589-AF3B-FA300BC5D285}">
  <dimension ref="A2:H20"/>
  <sheetViews>
    <sheetView workbookViewId="0">
      <selection activeCell="A20" sqref="A20"/>
    </sheetView>
  </sheetViews>
  <sheetFormatPr defaultRowHeight="14.4" x14ac:dyDescent="0.3"/>
  <cols>
    <col min="2" max="2" width="32.88671875" bestFit="1" customWidth="1"/>
    <col min="3" max="3" width="14.21875" bestFit="1" customWidth="1"/>
    <col min="4" max="4" width="14.5546875" bestFit="1" customWidth="1"/>
    <col min="5" max="6" width="11.109375" bestFit="1" customWidth="1"/>
    <col min="7" max="7" width="12.109375" bestFit="1" customWidth="1"/>
    <col min="8" max="8" width="15.21875" bestFit="1" customWidth="1"/>
  </cols>
  <sheetData>
    <row r="2" spans="1:8" x14ac:dyDescent="0.3">
      <c r="A2" s="3" t="s">
        <v>190</v>
      </c>
    </row>
    <row r="4" spans="1:8" x14ac:dyDescent="0.3">
      <c r="A4" s="24" t="s">
        <v>72</v>
      </c>
      <c r="B4" s="24" t="s">
        <v>21</v>
      </c>
      <c r="C4" s="24" t="s">
        <v>24</v>
      </c>
      <c r="D4" s="24" t="s">
        <v>73</v>
      </c>
      <c r="E4" s="24" t="s">
        <v>23</v>
      </c>
      <c r="F4" s="24" t="s">
        <v>22</v>
      </c>
      <c r="G4" s="24" t="s">
        <v>25</v>
      </c>
      <c r="H4" s="26" t="s">
        <v>27</v>
      </c>
    </row>
    <row r="5" spans="1:8" x14ac:dyDescent="0.3">
      <c r="A5" s="15">
        <v>2013</v>
      </c>
      <c r="B5" s="15" t="s">
        <v>74</v>
      </c>
      <c r="C5" s="15" t="s">
        <v>75</v>
      </c>
      <c r="D5" s="15" t="s">
        <v>76</v>
      </c>
      <c r="E5" s="15" t="s">
        <v>77</v>
      </c>
      <c r="F5" s="15" t="s">
        <v>78</v>
      </c>
      <c r="G5" s="15" t="s">
        <v>79</v>
      </c>
      <c r="H5" s="17" t="s">
        <v>80</v>
      </c>
    </row>
    <row r="6" spans="1:8" x14ac:dyDescent="0.3">
      <c r="A6" s="15">
        <v>2014</v>
      </c>
      <c r="B6" s="15" t="s">
        <v>81</v>
      </c>
      <c r="C6" s="15" t="s">
        <v>82</v>
      </c>
      <c r="D6" s="15" t="s">
        <v>83</v>
      </c>
      <c r="E6" s="15" t="s">
        <v>84</v>
      </c>
      <c r="F6" s="15" t="s">
        <v>85</v>
      </c>
      <c r="G6" s="15" t="s">
        <v>86</v>
      </c>
      <c r="H6" s="17" t="s">
        <v>87</v>
      </c>
    </row>
    <row r="7" spans="1:8" x14ac:dyDescent="0.3">
      <c r="A7" s="15">
        <v>2015</v>
      </c>
      <c r="B7" s="15" t="s">
        <v>88</v>
      </c>
      <c r="C7" s="15" t="s">
        <v>89</v>
      </c>
      <c r="D7" s="15" t="s">
        <v>90</v>
      </c>
      <c r="E7" s="15" t="s">
        <v>91</v>
      </c>
      <c r="F7" s="15" t="s">
        <v>92</v>
      </c>
      <c r="G7" s="15" t="s">
        <v>93</v>
      </c>
      <c r="H7" s="17" t="s">
        <v>94</v>
      </c>
    </row>
    <row r="8" spans="1:8" x14ac:dyDescent="0.3">
      <c r="A8" s="15">
        <v>2016</v>
      </c>
      <c r="B8" s="15" t="s">
        <v>95</v>
      </c>
      <c r="C8" s="15" t="s">
        <v>96</v>
      </c>
      <c r="D8" s="15" t="s">
        <v>97</v>
      </c>
      <c r="E8" s="15" t="s">
        <v>98</v>
      </c>
      <c r="F8" s="15" t="s">
        <v>99</v>
      </c>
      <c r="G8" s="15" t="s">
        <v>100</v>
      </c>
      <c r="H8" s="17" t="s">
        <v>101</v>
      </c>
    </row>
    <row r="9" spans="1:8" x14ac:dyDescent="0.3">
      <c r="A9" s="15">
        <v>2017</v>
      </c>
      <c r="B9" s="15" t="s">
        <v>102</v>
      </c>
      <c r="C9" s="15" t="s">
        <v>103</v>
      </c>
      <c r="D9" s="15" t="s">
        <v>104</v>
      </c>
      <c r="E9" s="15" t="s">
        <v>105</v>
      </c>
      <c r="F9" s="15" t="s">
        <v>106</v>
      </c>
      <c r="G9" s="15" t="s">
        <v>107</v>
      </c>
      <c r="H9" s="17" t="s">
        <v>108</v>
      </c>
    </row>
    <row r="10" spans="1:8" x14ac:dyDescent="0.3">
      <c r="A10" s="15">
        <v>2018</v>
      </c>
      <c r="B10" s="15" t="s">
        <v>109</v>
      </c>
      <c r="C10" s="15" t="s">
        <v>110</v>
      </c>
      <c r="D10" s="15" t="s">
        <v>111</v>
      </c>
      <c r="E10" s="15" t="s">
        <v>29</v>
      </c>
      <c r="F10" s="15" t="s">
        <v>28</v>
      </c>
      <c r="G10" s="15" t="s">
        <v>112</v>
      </c>
      <c r="H10" s="17" t="s">
        <v>113</v>
      </c>
    </row>
    <row r="11" spans="1:8" x14ac:dyDescent="0.3">
      <c r="A11" s="15">
        <v>2019</v>
      </c>
      <c r="B11" s="15" t="s">
        <v>114</v>
      </c>
      <c r="C11" s="15" t="s">
        <v>115</v>
      </c>
      <c r="D11" s="15" t="s">
        <v>116</v>
      </c>
      <c r="E11" s="15" t="s">
        <v>31</v>
      </c>
      <c r="F11" s="15" t="s">
        <v>30</v>
      </c>
      <c r="G11" s="15" t="s">
        <v>117</v>
      </c>
      <c r="H11" s="17" t="s">
        <v>118</v>
      </c>
    </row>
    <row r="12" spans="1:8" x14ac:dyDescent="0.3">
      <c r="A12" s="15">
        <v>2020</v>
      </c>
      <c r="B12" s="15" t="s">
        <v>119</v>
      </c>
      <c r="C12" s="15" t="s">
        <v>120</v>
      </c>
      <c r="D12" s="15" t="s">
        <v>121</v>
      </c>
      <c r="E12" s="15" t="s">
        <v>32</v>
      </c>
      <c r="F12" s="15" t="s">
        <v>122</v>
      </c>
      <c r="G12" s="15" t="s">
        <v>123</v>
      </c>
      <c r="H12" s="17" t="s">
        <v>124</v>
      </c>
    </row>
    <row r="13" spans="1:8" x14ac:dyDescent="0.3">
      <c r="A13" s="15">
        <v>2021</v>
      </c>
      <c r="B13" s="15" t="s">
        <v>125</v>
      </c>
      <c r="C13" s="15" t="s">
        <v>126</v>
      </c>
      <c r="D13" s="15" t="s">
        <v>127</v>
      </c>
      <c r="E13" s="15" t="s">
        <v>34</v>
      </c>
      <c r="F13" s="15" t="s">
        <v>33</v>
      </c>
      <c r="G13" s="15" t="s">
        <v>128</v>
      </c>
      <c r="H13" s="17" t="s">
        <v>129</v>
      </c>
    </row>
    <row r="14" spans="1:8" x14ac:dyDescent="0.3">
      <c r="A14" s="15">
        <v>2022</v>
      </c>
      <c r="B14" s="15" t="s">
        <v>130</v>
      </c>
      <c r="C14" s="15" t="s">
        <v>131</v>
      </c>
      <c r="D14" s="15" t="s">
        <v>132</v>
      </c>
      <c r="E14" s="15" t="s">
        <v>36</v>
      </c>
      <c r="F14" s="15" t="s">
        <v>35</v>
      </c>
      <c r="G14" s="15" t="s">
        <v>133</v>
      </c>
      <c r="H14" s="17" t="s">
        <v>134</v>
      </c>
    </row>
    <row r="15" spans="1:8" x14ac:dyDescent="0.3">
      <c r="A15" s="15">
        <v>2023</v>
      </c>
      <c r="B15" s="15" t="s">
        <v>135</v>
      </c>
      <c r="C15" s="15" t="s">
        <v>136</v>
      </c>
      <c r="D15" s="15" t="s">
        <v>137</v>
      </c>
      <c r="E15" s="15" t="s">
        <v>138</v>
      </c>
      <c r="F15" s="15" t="s">
        <v>139</v>
      </c>
      <c r="G15" s="15" t="s">
        <v>140</v>
      </c>
      <c r="H15" s="17" t="s">
        <v>141</v>
      </c>
    </row>
    <row r="16" spans="1:8" x14ac:dyDescent="0.3">
      <c r="A16" s="15">
        <v>2024</v>
      </c>
      <c r="B16" s="15" t="s">
        <v>142</v>
      </c>
      <c r="C16" s="15" t="s">
        <v>143</v>
      </c>
      <c r="D16" s="15" t="s">
        <v>144</v>
      </c>
      <c r="E16" s="15" t="s">
        <v>145</v>
      </c>
      <c r="F16" s="15" t="s">
        <v>146</v>
      </c>
      <c r="G16" s="15" t="s">
        <v>147</v>
      </c>
      <c r="H16" s="17" t="s">
        <v>148</v>
      </c>
    </row>
    <row r="17" spans="1:8" x14ac:dyDescent="0.3">
      <c r="A17" s="25" t="s">
        <v>27</v>
      </c>
      <c r="B17" s="25" t="s">
        <v>149</v>
      </c>
      <c r="C17" s="25" t="s">
        <v>150</v>
      </c>
      <c r="D17" s="25" t="s">
        <v>151</v>
      </c>
      <c r="E17" s="25" t="s">
        <v>152</v>
      </c>
      <c r="F17" s="25" t="s">
        <v>153</v>
      </c>
      <c r="G17" s="25" t="s">
        <v>154</v>
      </c>
      <c r="H17" s="27" t="s">
        <v>155</v>
      </c>
    </row>
    <row r="20" spans="1:8" x14ac:dyDescent="0.3">
      <c r="A20" s="2" t="s">
        <v>214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EA53-C3DE-4F37-9DC0-0A3FF4C5AE5D}">
  <dimension ref="A2:D13"/>
  <sheetViews>
    <sheetView workbookViewId="0">
      <selection activeCell="C26" sqref="C26"/>
    </sheetView>
  </sheetViews>
  <sheetFormatPr defaultRowHeight="14.4" x14ac:dyDescent="0.3"/>
  <cols>
    <col min="1" max="1" width="14.5546875" bestFit="1" customWidth="1"/>
    <col min="2" max="2" width="14.21875" bestFit="1" customWidth="1"/>
    <col min="3" max="3" width="13.21875" bestFit="1" customWidth="1"/>
    <col min="4" max="4" width="15.21875" bestFit="1" customWidth="1"/>
  </cols>
  <sheetData>
    <row r="2" spans="1:4" x14ac:dyDescent="0.3">
      <c r="A2" s="2" t="s">
        <v>191</v>
      </c>
    </row>
    <row r="4" spans="1:4" x14ac:dyDescent="0.3">
      <c r="A4" s="12" t="s">
        <v>192</v>
      </c>
      <c r="B4" s="12" t="s">
        <v>193</v>
      </c>
      <c r="C4" s="12" t="s">
        <v>194</v>
      </c>
      <c r="D4" s="12" t="s">
        <v>27</v>
      </c>
    </row>
    <row r="5" spans="1:4" x14ac:dyDescent="0.3">
      <c r="A5" s="1" t="s">
        <v>21</v>
      </c>
      <c r="B5" s="1" t="s">
        <v>195</v>
      </c>
      <c r="C5" s="1" t="s">
        <v>196</v>
      </c>
      <c r="D5" s="1" t="s">
        <v>197</v>
      </c>
    </row>
    <row r="6" spans="1:4" x14ac:dyDescent="0.3">
      <c r="A6" s="1" t="s">
        <v>24</v>
      </c>
      <c r="B6" s="1" t="s">
        <v>198</v>
      </c>
      <c r="C6" s="1" t="s">
        <v>199</v>
      </c>
      <c r="D6" s="1" t="s">
        <v>200</v>
      </c>
    </row>
    <row r="7" spans="1:4" x14ac:dyDescent="0.3">
      <c r="A7" s="1" t="s">
        <v>73</v>
      </c>
      <c r="B7" s="1" t="s">
        <v>201</v>
      </c>
      <c r="C7" s="1" t="s">
        <v>202</v>
      </c>
      <c r="D7" s="1" t="s">
        <v>203</v>
      </c>
    </row>
    <row r="8" spans="1:4" x14ac:dyDescent="0.3">
      <c r="A8" s="1" t="s">
        <v>23</v>
      </c>
      <c r="B8" s="1" t="s">
        <v>204</v>
      </c>
      <c r="C8" s="1" t="s">
        <v>205</v>
      </c>
      <c r="D8" s="1" t="s">
        <v>171</v>
      </c>
    </row>
    <row r="9" spans="1:4" x14ac:dyDescent="0.3">
      <c r="A9" s="1" t="s">
        <v>22</v>
      </c>
      <c r="B9" s="1" t="s">
        <v>206</v>
      </c>
      <c r="C9" s="1" t="s">
        <v>207</v>
      </c>
      <c r="D9" s="1" t="s">
        <v>208</v>
      </c>
    </row>
    <row r="10" spans="1:4" x14ac:dyDescent="0.3">
      <c r="A10" s="1" t="s">
        <v>25</v>
      </c>
      <c r="B10" s="1" t="s">
        <v>209</v>
      </c>
      <c r="C10" s="1" t="s">
        <v>210</v>
      </c>
      <c r="D10" s="1" t="s">
        <v>211</v>
      </c>
    </row>
    <row r="11" spans="1:4" x14ac:dyDescent="0.3">
      <c r="A11" s="1" t="s">
        <v>27</v>
      </c>
      <c r="B11" s="1" t="s">
        <v>212</v>
      </c>
      <c r="C11" s="1" t="s">
        <v>213</v>
      </c>
      <c r="D11" s="1" t="s">
        <v>155</v>
      </c>
    </row>
    <row r="13" spans="1:4" x14ac:dyDescent="0.3">
      <c r="A13" s="2" t="s">
        <v>214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C322-7E16-4B86-B592-87581626B446}">
  <dimension ref="A2:G28"/>
  <sheetViews>
    <sheetView topLeftCell="D7" workbookViewId="0">
      <selection activeCell="I22" sqref="I22"/>
    </sheetView>
  </sheetViews>
  <sheetFormatPr defaultRowHeight="14.4" x14ac:dyDescent="0.3"/>
  <cols>
    <col min="2" max="6" width="8.88671875" style="28"/>
    <col min="7" max="7" width="15.109375" style="28" customWidth="1"/>
  </cols>
  <sheetData>
    <row r="2" spans="1:7" x14ac:dyDescent="0.3">
      <c r="A2" s="3" t="s">
        <v>215</v>
      </c>
    </row>
    <row r="5" spans="1:7" x14ac:dyDescent="0.3">
      <c r="A5" s="2" t="s">
        <v>216</v>
      </c>
      <c r="B5" s="30" t="s">
        <v>21</v>
      </c>
      <c r="C5" s="30" t="s">
        <v>24</v>
      </c>
      <c r="D5" s="30" t="s">
        <v>23</v>
      </c>
      <c r="E5" s="30" t="s">
        <v>218</v>
      </c>
      <c r="F5" s="30" t="s">
        <v>217</v>
      </c>
      <c r="G5" s="30" t="s">
        <v>26</v>
      </c>
    </row>
    <row r="6" spans="1:7" x14ac:dyDescent="0.3">
      <c r="A6" s="1">
        <v>0</v>
      </c>
      <c r="B6" s="29">
        <v>7.0000000000000007E-2</v>
      </c>
      <c r="C6" s="29">
        <v>0.04</v>
      </c>
      <c r="D6" s="29">
        <v>0.19</v>
      </c>
      <c r="E6" s="29">
        <v>0.04</v>
      </c>
      <c r="F6" s="29">
        <v>0</v>
      </c>
      <c r="G6" s="29">
        <v>0.12</v>
      </c>
    </row>
    <row r="7" spans="1:7" x14ac:dyDescent="0.3">
      <c r="A7" s="1">
        <v>5</v>
      </c>
      <c r="B7" s="29">
        <v>1.61</v>
      </c>
      <c r="C7" s="29">
        <v>1.64</v>
      </c>
      <c r="D7" s="29">
        <v>3.8</v>
      </c>
      <c r="E7" s="29">
        <v>0.76</v>
      </c>
      <c r="F7" s="29">
        <v>0.59</v>
      </c>
      <c r="G7" s="29">
        <v>1.64</v>
      </c>
    </row>
    <row r="8" spans="1:7" x14ac:dyDescent="0.3">
      <c r="A8" s="1">
        <v>10</v>
      </c>
      <c r="B8" s="29">
        <v>2.98</v>
      </c>
      <c r="C8" s="29">
        <v>2.84</v>
      </c>
      <c r="D8" s="29">
        <v>8.17</v>
      </c>
      <c r="E8" s="29">
        <v>1.49</v>
      </c>
      <c r="F8" s="29">
        <v>1.65</v>
      </c>
      <c r="G8" s="29">
        <v>3.4</v>
      </c>
    </row>
    <row r="9" spans="1:7" x14ac:dyDescent="0.3">
      <c r="A9" s="1">
        <v>15</v>
      </c>
      <c r="B9" s="29">
        <v>6.03</v>
      </c>
      <c r="C9" s="29">
        <v>5.26</v>
      </c>
      <c r="D9" s="29">
        <v>14.35</v>
      </c>
      <c r="E9" s="29">
        <v>3.9</v>
      </c>
      <c r="F9" s="29">
        <v>4.28</v>
      </c>
      <c r="G9" s="29">
        <v>7.07</v>
      </c>
    </row>
    <row r="10" spans="1:7" x14ac:dyDescent="0.3">
      <c r="A10" s="1">
        <v>20</v>
      </c>
      <c r="B10" s="29">
        <v>19.71</v>
      </c>
      <c r="C10" s="29">
        <v>16.16</v>
      </c>
      <c r="D10" s="29">
        <v>30.76</v>
      </c>
      <c r="E10" s="29">
        <v>16.27</v>
      </c>
      <c r="F10" s="29">
        <v>17.98</v>
      </c>
      <c r="G10" s="29">
        <v>21.61</v>
      </c>
    </row>
    <row r="11" spans="1:7" x14ac:dyDescent="0.3">
      <c r="A11" s="1">
        <v>25</v>
      </c>
      <c r="B11" s="29">
        <v>35.81</v>
      </c>
      <c r="C11" s="29">
        <v>30.17</v>
      </c>
      <c r="D11" s="29">
        <v>47.88</v>
      </c>
      <c r="E11" s="29">
        <v>31.97</v>
      </c>
      <c r="F11" s="29">
        <v>35.229999999999997</v>
      </c>
      <c r="G11" s="29">
        <v>37.54</v>
      </c>
    </row>
    <row r="12" spans="1:7" x14ac:dyDescent="0.3">
      <c r="A12" s="1">
        <v>30</v>
      </c>
      <c r="B12" s="29">
        <v>50.08</v>
      </c>
      <c r="C12" s="29">
        <v>43.27</v>
      </c>
      <c r="D12" s="29">
        <v>62.03</v>
      </c>
      <c r="E12" s="29">
        <v>47.12</v>
      </c>
      <c r="F12" s="29">
        <v>49.82</v>
      </c>
      <c r="G12" s="29">
        <v>51.59</v>
      </c>
    </row>
    <row r="13" spans="1:7" x14ac:dyDescent="0.3">
      <c r="A13" s="1">
        <v>35</v>
      </c>
      <c r="B13" s="29">
        <v>62.88</v>
      </c>
      <c r="C13" s="29">
        <v>55.67</v>
      </c>
      <c r="D13" s="29">
        <v>72.069999999999993</v>
      </c>
      <c r="E13" s="29">
        <v>61.21</v>
      </c>
      <c r="F13" s="29">
        <v>62.68</v>
      </c>
      <c r="G13" s="29">
        <v>63.99</v>
      </c>
    </row>
    <row r="14" spans="1:7" x14ac:dyDescent="0.3">
      <c r="A14" s="1">
        <v>40</v>
      </c>
      <c r="B14" s="29">
        <v>73.7</v>
      </c>
      <c r="C14" s="29">
        <v>66.819999999999993</v>
      </c>
      <c r="D14" s="29">
        <v>80.239999999999995</v>
      </c>
      <c r="E14" s="29">
        <v>73.63</v>
      </c>
      <c r="F14" s="29">
        <v>73.67</v>
      </c>
      <c r="G14" s="29">
        <v>74.209999999999994</v>
      </c>
    </row>
    <row r="15" spans="1:7" x14ac:dyDescent="0.3">
      <c r="A15" s="1">
        <v>45</v>
      </c>
      <c r="B15" s="29">
        <v>81.99</v>
      </c>
      <c r="C15" s="29">
        <v>75.87</v>
      </c>
      <c r="D15" s="29">
        <v>87.19</v>
      </c>
      <c r="E15" s="29">
        <v>82.75</v>
      </c>
      <c r="F15" s="29">
        <v>81.52</v>
      </c>
      <c r="G15" s="29">
        <v>81.89</v>
      </c>
    </row>
    <row r="16" spans="1:7" x14ac:dyDescent="0.3">
      <c r="A16" s="1">
        <v>50</v>
      </c>
      <c r="B16" s="29">
        <v>87.95</v>
      </c>
      <c r="C16" s="29">
        <v>82.78</v>
      </c>
      <c r="D16" s="29">
        <v>91.57</v>
      </c>
      <c r="E16" s="29">
        <v>88.95</v>
      </c>
      <c r="F16" s="29">
        <v>87.08</v>
      </c>
      <c r="G16" s="29">
        <v>87.55</v>
      </c>
    </row>
    <row r="17" spans="1:7" x14ac:dyDescent="0.3">
      <c r="A17" s="1">
        <v>55</v>
      </c>
      <c r="B17" s="29">
        <v>92.17</v>
      </c>
      <c r="C17" s="29">
        <v>88.12</v>
      </c>
      <c r="D17" s="29">
        <v>93.89</v>
      </c>
      <c r="E17" s="29">
        <v>93.19</v>
      </c>
      <c r="F17" s="29">
        <v>91.57</v>
      </c>
      <c r="G17" s="29">
        <v>91.71</v>
      </c>
    </row>
    <row r="18" spans="1:7" x14ac:dyDescent="0.3">
      <c r="A18" s="1">
        <v>60</v>
      </c>
      <c r="B18" s="29">
        <v>95.1</v>
      </c>
      <c r="C18" s="29">
        <v>92.17</v>
      </c>
      <c r="D18" s="29">
        <v>96.01</v>
      </c>
      <c r="E18" s="29">
        <v>95.98</v>
      </c>
      <c r="F18" s="29">
        <v>94.46</v>
      </c>
      <c r="G18" s="29">
        <v>94.59</v>
      </c>
    </row>
    <row r="19" spans="1:7" x14ac:dyDescent="0.3">
      <c r="A19" s="1">
        <v>65</v>
      </c>
      <c r="B19" s="29">
        <v>97.02</v>
      </c>
      <c r="C19" s="29">
        <v>95</v>
      </c>
      <c r="D19" s="29">
        <v>97.49</v>
      </c>
      <c r="E19" s="29">
        <v>97.7</v>
      </c>
      <c r="F19" s="29">
        <v>96.6</v>
      </c>
      <c r="G19" s="29">
        <v>96.52</v>
      </c>
    </row>
    <row r="20" spans="1:7" x14ac:dyDescent="0.3">
      <c r="A20" s="1">
        <v>70</v>
      </c>
      <c r="B20" s="29">
        <v>98.21</v>
      </c>
      <c r="C20" s="29">
        <v>96.8</v>
      </c>
      <c r="D20" s="29">
        <v>98.07</v>
      </c>
      <c r="E20" s="29">
        <v>98.74</v>
      </c>
      <c r="F20" s="29">
        <v>97.96</v>
      </c>
      <c r="G20" s="29">
        <v>97.79</v>
      </c>
    </row>
    <row r="21" spans="1:7" x14ac:dyDescent="0.3">
      <c r="A21" s="1">
        <v>75</v>
      </c>
      <c r="B21" s="29">
        <v>98.97</v>
      </c>
      <c r="C21" s="29">
        <v>98.08</v>
      </c>
      <c r="D21" s="29">
        <v>98.71</v>
      </c>
      <c r="E21" s="29">
        <v>99.32</v>
      </c>
      <c r="F21" s="29">
        <v>98.67</v>
      </c>
      <c r="G21" s="29">
        <v>98.65</v>
      </c>
    </row>
    <row r="22" spans="1:7" x14ac:dyDescent="0.3">
      <c r="A22" s="1">
        <v>80</v>
      </c>
      <c r="B22" s="29">
        <v>99.45</v>
      </c>
      <c r="C22" s="29">
        <v>99</v>
      </c>
      <c r="D22" s="29">
        <v>99.29</v>
      </c>
      <c r="E22" s="29">
        <v>99.68</v>
      </c>
      <c r="F22" s="29">
        <v>99.32</v>
      </c>
      <c r="G22" s="29">
        <v>99.28</v>
      </c>
    </row>
    <row r="23" spans="1:7" x14ac:dyDescent="0.3">
      <c r="A23" s="1">
        <v>85</v>
      </c>
      <c r="B23" s="29">
        <v>99.76</v>
      </c>
      <c r="C23" s="29">
        <v>99.59</v>
      </c>
      <c r="D23" s="29">
        <v>99.61</v>
      </c>
      <c r="E23" s="29">
        <v>99.83</v>
      </c>
      <c r="F23" s="29">
        <v>99.68</v>
      </c>
      <c r="G23" s="29">
        <v>99.68</v>
      </c>
    </row>
    <row r="24" spans="1:7" x14ac:dyDescent="0.3">
      <c r="A24" s="1">
        <v>90</v>
      </c>
      <c r="B24" s="29">
        <v>99.92</v>
      </c>
      <c r="C24" s="29">
        <v>99.88</v>
      </c>
      <c r="D24" s="29">
        <v>99.74</v>
      </c>
      <c r="E24" s="29">
        <v>99.94</v>
      </c>
      <c r="F24" s="29">
        <v>99.92</v>
      </c>
      <c r="G24" s="29">
        <v>99.89</v>
      </c>
    </row>
    <row r="25" spans="1:7" x14ac:dyDescent="0.3">
      <c r="A25" s="1">
        <v>95</v>
      </c>
      <c r="B25" s="29">
        <v>99.98</v>
      </c>
      <c r="C25" s="29">
        <v>99.98</v>
      </c>
      <c r="D25" s="29">
        <v>99.94</v>
      </c>
      <c r="E25" s="29">
        <v>99.97</v>
      </c>
      <c r="F25" s="29">
        <v>100</v>
      </c>
      <c r="G25" s="29">
        <v>99.98</v>
      </c>
    </row>
    <row r="26" spans="1:7" x14ac:dyDescent="0.3">
      <c r="A26" s="1">
        <v>99</v>
      </c>
      <c r="B26" s="29">
        <v>100</v>
      </c>
      <c r="C26" s="29">
        <v>100</v>
      </c>
      <c r="D26" s="29">
        <v>100</v>
      </c>
      <c r="E26" s="29">
        <v>100</v>
      </c>
      <c r="F26" s="29">
        <v>100</v>
      </c>
      <c r="G26" s="29">
        <v>100</v>
      </c>
    </row>
    <row r="28" spans="1:7" x14ac:dyDescent="0.3">
      <c r="A28" s="2" t="s">
        <v>214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EEB9-A116-4141-9317-B952CD47CDFB}">
  <dimension ref="A2:H19"/>
  <sheetViews>
    <sheetView workbookViewId="0">
      <selection activeCell="A4" sqref="A4:H15"/>
    </sheetView>
  </sheetViews>
  <sheetFormatPr defaultRowHeight="14.4" x14ac:dyDescent="0.3"/>
  <cols>
    <col min="1" max="1" width="20.109375" bestFit="1" customWidth="1"/>
    <col min="2" max="4" width="15.21875" bestFit="1" customWidth="1"/>
    <col min="5" max="6" width="13.21875" bestFit="1" customWidth="1"/>
    <col min="7" max="7" width="14.21875" bestFit="1" customWidth="1"/>
    <col min="8" max="8" width="15.21875" bestFit="1" customWidth="1"/>
  </cols>
  <sheetData>
    <row r="2" spans="1:8" x14ac:dyDescent="0.3">
      <c r="A2" s="2" t="s">
        <v>219</v>
      </c>
    </row>
    <row r="4" spans="1:8" x14ac:dyDescent="0.3">
      <c r="A4" s="21" t="s">
        <v>220</v>
      </c>
      <c r="B4" s="19" t="s">
        <v>21</v>
      </c>
      <c r="C4" s="19" t="s">
        <v>24</v>
      </c>
      <c r="D4" s="19" t="s">
        <v>73</v>
      </c>
      <c r="E4" s="19" t="s">
        <v>23</v>
      </c>
      <c r="F4" s="19" t="s">
        <v>22</v>
      </c>
      <c r="G4" s="19" t="s">
        <v>25</v>
      </c>
      <c r="H4" s="20" t="s">
        <v>27</v>
      </c>
    </row>
    <row r="5" spans="1:8" x14ac:dyDescent="0.3">
      <c r="A5" s="22" t="s">
        <v>62</v>
      </c>
      <c r="B5" s="1" t="s">
        <v>221</v>
      </c>
      <c r="C5" s="1" t="s">
        <v>222</v>
      </c>
      <c r="D5" s="1" t="s">
        <v>223</v>
      </c>
      <c r="E5" s="1" t="s">
        <v>156</v>
      </c>
      <c r="F5" s="1" t="s">
        <v>156</v>
      </c>
      <c r="G5" s="1" t="s">
        <v>224</v>
      </c>
      <c r="H5" s="32" t="s">
        <v>225</v>
      </c>
    </row>
    <row r="6" spans="1:8" x14ac:dyDescent="0.3">
      <c r="A6" s="22" t="s">
        <v>63</v>
      </c>
      <c r="B6" s="1" t="s">
        <v>226</v>
      </c>
      <c r="C6" s="1" t="s">
        <v>227</v>
      </c>
      <c r="D6" s="1" t="s">
        <v>228</v>
      </c>
      <c r="E6" s="1" t="s">
        <v>229</v>
      </c>
      <c r="F6" s="1" t="s">
        <v>230</v>
      </c>
      <c r="G6" s="1" t="s">
        <v>231</v>
      </c>
      <c r="H6" s="32" t="s">
        <v>232</v>
      </c>
    </row>
    <row r="7" spans="1:8" x14ac:dyDescent="0.3">
      <c r="A7" s="22" t="s">
        <v>26</v>
      </c>
      <c r="B7" s="1" t="s">
        <v>233</v>
      </c>
      <c r="C7" s="1" t="s">
        <v>234</v>
      </c>
      <c r="D7" s="1" t="s">
        <v>235</v>
      </c>
      <c r="E7" s="1" t="s">
        <v>236</v>
      </c>
      <c r="F7" s="1" t="s">
        <v>237</v>
      </c>
      <c r="G7" s="1" t="s">
        <v>238</v>
      </c>
      <c r="H7" s="32" t="s">
        <v>239</v>
      </c>
    </row>
    <row r="8" spans="1:8" x14ac:dyDescent="0.3">
      <c r="A8" s="22" t="s">
        <v>64</v>
      </c>
      <c r="B8" s="1" t="s">
        <v>240</v>
      </c>
      <c r="C8" s="1" t="s">
        <v>241</v>
      </c>
      <c r="D8" s="1" t="s">
        <v>242</v>
      </c>
      <c r="E8" s="1" t="s">
        <v>157</v>
      </c>
      <c r="F8" s="1" t="s">
        <v>243</v>
      </c>
      <c r="G8" s="1" t="s">
        <v>244</v>
      </c>
      <c r="H8" s="32" t="s">
        <v>245</v>
      </c>
    </row>
    <row r="9" spans="1:8" x14ac:dyDescent="0.3">
      <c r="A9" s="22" t="s">
        <v>65</v>
      </c>
      <c r="B9" s="1" t="s">
        <v>246</v>
      </c>
      <c r="C9" s="1" t="s">
        <v>247</v>
      </c>
      <c r="D9" s="1" t="s">
        <v>248</v>
      </c>
      <c r="E9" s="1" t="s">
        <v>158</v>
      </c>
      <c r="F9" s="1" t="s">
        <v>249</v>
      </c>
      <c r="G9" s="1" t="s">
        <v>250</v>
      </c>
      <c r="H9" s="32" t="s">
        <v>251</v>
      </c>
    </row>
    <row r="10" spans="1:8" x14ac:dyDescent="0.3">
      <c r="A10" s="22" t="s">
        <v>66</v>
      </c>
      <c r="B10" s="1" t="s">
        <v>252</v>
      </c>
      <c r="C10" s="1" t="s">
        <v>253</v>
      </c>
      <c r="D10" s="1" t="s">
        <v>254</v>
      </c>
      <c r="E10" s="1" t="s">
        <v>255</v>
      </c>
      <c r="F10" s="1" t="s">
        <v>256</v>
      </c>
      <c r="G10" s="1" t="s">
        <v>257</v>
      </c>
      <c r="H10" s="32" t="s">
        <v>258</v>
      </c>
    </row>
    <row r="11" spans="1:8" x14ac:dyDescent="0.3">
      <c r="A11" s="22" t="s">
        <v>67</v>
      </c>
      <c r="B11" s="1" t="s">
        <v>259</v>
      </c>
      <c r="C11" s="1" t="s">
        <v>260</v>
      </c>
      <c r="D11" s="1" t="s">
        <v>261</v>
      </c>
      <c r="E11" s="1" t="s">
        <v>158</v>
      </c>
      <c r="F11" s="1" t="s">
        <v>262</v>
      </c>
      <c r="G11" s="1" t="s">
        <v>263</v>
      </c>
      <c r="H11" s="32" t="s">
        <v>264</v>
      </c>
    </row>
    <row r="12" spans="1:8" x14ac:dyDescent="0.3">
      <c r="A12" s="22" t="s">
        <v>68</v>
      </c>
      <c r="B12" s="1" t="s">
        <v>265</v>
      </c>
      <c r="C12" s="1" t="s">
        <v>266</v>
      </c>
      <c r="D12" s="1" t="s">
        <v>267</v>
      </c>
      <c r="E12" s="1" t="s">
        <v>268</v>
      </c>
      <c r="F12" s="1" t="s">
        <v>269</v>
      </c>
      <c r="G12" s="1" t="s">
        <v>270</v>
      </c>
      <c r="H12" s="32" t="s">
        <v>271</v>
      </c>
    </row>
    <row r="13" spans="1:8" x14ac:dyDescent="0.3">
      <c r="A13" s="22" t="s">
        <v>69</v>
      </c>
      <c r="B13" s="1" t="s">
        <v>272</v>
      </c>
      <c r="C13" s="1" t="s">
        <v>273</v>
      </c>
      <c r="D13" s="1" t="s">
        <v>274</v>
      </c>
      <c r="E13" s="1" t="s">
        <v>275</v>
      </c>
      <c r="F13" s="1" t="s">
        <v>276</v>
      </c>
      <c r="G13" s="1" t="s">
        <v>277</v>
      </c>
      <c r="H13" s="32" t="s">
        <v>278</v>
      </c>
    </row>
    <row r="14" spans="1:8" x14ac:dyDescent="0.3">
      <c r="A14" s="22" t="s">
        <v>70</v>
      </c>
      <c r="B14" s="1" t="s">
        <v>279</v>
      </c>
      <c r="C14" s="1" t="s">
        <v>280</v>
      </c>
      <c r="D14" s="1" t="s">
        <v>281</v>
      </c>
      <c r="E14" s="1" t="s">
        <v>282</v>
      </c>
      <c r="F14" s="1" t="s">
        <v>283</v>
      </c>
      <c r="G14" s="1" t="s">
        <v>284</v>
      </c>
      <c r="H14" s="32" t="s">
        <v>285</v>
      </c>
    </row>
    <row r="15" spans="1:8" x14ac:dyDescent="0.3">
      <c r="A15" s="34" t="s">
        <v>27</v>
      </c>
      <c r="B15" s="31" t="s">
        <v>197</v>
      </c>
      <c r="C15" s="31" t="s">
        <v>200</v>
      </c>
      <c r="D15" s="31" t="s">
        <v>203</v>
      </c>
      <c r="E15" s="31" t="s">
        <v>171</v>
      </c>
      <c r="F15" s="31" t="s">
        <v>208</v>
      </c>
      <c r="G15" s="31" t="s">
        <v>211</v>
      </c>
      <c r="H15" s="33" t="s">
        <v>155</v>
      </c>
    </row>
    <row r="19" spans="1:1" x14ac:dyDescent="0.3">
      <c r="A19" s="2" t="s">
        <v>214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D517-DC28-4E6B-992F-A4691B4A1BE1}">
  <dimension ref="A2:D11"/>
  <sheetViews>
    <sheetView tabSelected="1" workbookViewId="0">
      <selection activeCell="D18" sqref="D18"/>
    </sheetView>
  </sheetViews>
  <sheetFormatPr defaultRowHeight="14.4" x14ac:dyDescent="0.3"/>
  <cols>
    <col min="1" max="1" width="16.5546875" customWidth="1"/>
    <col min="2" max="2" width="18.88671875" style="4" customWidth="1"/>
    <col min="3" max="3" width="14.6640625" style="4" customWidth="1"/>
    <col min="4" max="4" width="18.21875" style="4" customWidth="1"/>
  </cols>
  <sheetData>
    <row r="2" spans="1:4" x14ac:dyDescent="0.3">
      <c r="A2" s="2" t="s">
        <v>286</v>
      </c>
    </row>
    <row r="4" spans="1:4" x14ac:dyDescent="0.3">
      <c r="A4" s="6"/>
      <c r="B4" s="8" t="s">
        <v>46</v>
      </c>
      <c r="C4" s="8" t="s">
        <v>47</v>
      </c>
      <c r="D4" s="8" t="s">
        <v>27</v>
      </c>
    </row>
    <row r="5" spans="1:4" x14ac:dyDescent="0.3">
      <c r="A5" s="5" t="s">
        <v>21</v>
      </c>
      <c r="B5" s="9" t="s">
        <v>48</v>
      </c>
      <c r="C5" s="9" t="s">
        <v>49</v>
      </c>
      <c r="D5" s="9" t="s">
        <v>40</v>
      </c>
    </row>
    <row r="6" spans="1:4" x14ac:dyDescent="0.3">
      <c r="A6" s="5" t="s">
        <v>22</v>
      </c>
      <c r="B6" s="9" t="s">
        <v>50</v>
      </c>
      <c r="C6" s="9" t="s">
        <v>51</v>
      </c>
      <c r="D6" s="9" t="s">
        <v>41</v>
      </c>
    </row>
    <row r="7" spans="1:4" x14ac:dyDescent="0.3">
      <c r="A7" s="5" t="s">
        <v>26</v>
      </c>
      <c r="B7" s="9" t="s">
        <v>52</v>
      </c>
      <c r="C7" s="9" t="s">
        <v>53</v>
      </c>
      <c r="D7" s="9" t="s">
        <v>42</v>
      </c>
    </row>
    <row r="8" spans="1:4" x14ac:dyDescent="0.3">
      <c r="A8" s="5" t="s">
        <v>23</v>
      </c>
      <c r="B8" s="9" t="s">
        <v>54</v>
      </c>
      <c r="C8" s="9" t="s">
        <v>55</v>
      </c>
      <c r="D8" s="9" t="s">
        <v>43</v>
      </c>
    </row>
    <row r="9" spans="1:4" x14ac:dyDescent="0.3">
      <c r="A9" s="5" t="s">
        <v>24</v>
      </c>
      <c r="B9" s="9" t="s">
        <v>56</v>
      </c>
      <c r="C9" s="9" t="s">
        <v>57</v>
      </c>
      <c r="D9" s="9" t="s">
        <v>44</v>
      </c>
    </row>
    <row r="10" spans="1:4" x14ac:dyDescent="0.3">
      <c r="A10" s="5" t="s">
        <v>25</v>
      </c>
      <c r="B10" s="9" t="s">
        <v>58</v>
      </c>
      <c r="C10" s="9" t="s">
        <v>59</v>
      </c>
      <c r="D10" s="9" t="s">
        <v>45</v>
      </c>
    </row>
    <row r="11" spans="1:4" x14ac:dyDescent="0.3">
      <c r="A11" s="7" t="s">
        <v>27</v>
      </c>
      <c r="B11" s="10" t="s">
        <v>60</v>
      </c>
      <c r="C11" s="10" t="s">
        <v>61</v>
      </c>
      <c r="D11" s="10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B9B3-7629-4D80-8F73-874827616CC2}">
  <dimension ref="A3:O37"/>
  <sheetViews>
    <sheetView workbookViewId="0">
      <selection activeCell="A3" sqref="A3"/>
    </sheetView>
  </sheetViews>
  <sheetFormatPr defaultRowHeight="14.4" x14ac:dyDescent="0.3"/>
  <cols>
    <col min="1" max="1" width="17.88671875" customWidth="1"/>
    <col min="2" max="9" width="6.21875" style="4" customWidth="1"/>
    <col min="10" max="14" width="8.88671875" style="4"/>
  </cols>
  <sheetData>
    <row r="3" spans="1:15" x14ac:dyDescent="0.3">
      <c r="A3" s="3" t="s">
        <v>287</v>
      </c>
    </row>
    <row r="5" spans="1:15" x14ac:dyDescent="0.3">
      <c r="A5" s="21" t="s">
        <v>71</v>
      </c>
      <c r="B5" s="19">
        <v>2013</v>
      </c>
      <c r="C5" s="19">
        <v>2015</v>
      </c>
      <c r="D5" s="19">
        <v>2016</v>
      </c>
      <c r="E5" s="19">
        <v>2017</v>
      </c>
      <c r="F5" s="19">
        <v>2018</v>
      </c>
      <c r="G5" s="19">
        <v>2019</v>
      </c>
      <c r="H5" s="19">
        <v>2020</v>
      </c>
      <c r="I5" s="19">
        <v>2021</v>
      </c>
      <c r="J5" s="19">
        <v>2022</v>
      </c>
      <c r="K5" s="19">
        <v>2023</v>
      </c>
      <c r="L5" s="19">
        <v>2024</v>
      </c>
      <c r="M5" s="19">
        <v>2014</v>
      </c>
      <c r="N5" s="20" t="s">
        <v>27</v>
      </c>
    </row>
    <row r="6" spans="1:15" x14ac:dyDescent="0.3">
      <c r="A6" s="22" t="s">
        <v>0</v>
      </c>
      <c r="B6" s="15">
        <v>3</v>
      </c>
      <c r="C6" s="15">
        <v>2</v>
      </c>
      <c r="D6" s="15">
        <v>1</v>
      </c>
      <c r="E6" s="15">
        <v>3</v>
      </c>
      <c r="F6" s="15">
        <v>1</v>
      </c>
      <c r="G6" s="15">
        <v>2</v>
      </c>
      <c r="H6" s="15">
        <v>3</v>
      </c>
      <c r="I6" s="15">
        <v>7</v>
      </c>
      <c r="J6" s="15">
        <v>4</v>
      </c>
      <c r="K6" s="15">
        <v>7</v>
      </c>
      <c r="L6" s="15">
        <v>4</v>
      </c>
      <c r="M6" s="15">
        <v>0</v>
      </c>
      <c r="N6" s="17">
        <v>37</v>
      </c>
    </row>
    <row r="7" spans="1:15" x14ac:dyDescent="0.3">
      <c r="A7" s="22" t="s">
        <v>1</v>
      </c>
      <c r="B7" s="15">
        <v>0</v>
      </c>
      <c r="C7" s="15">
        <v>0</v>
      </c>
      <c r="D7" s="15">
        <v>0</v>
      </c>
      <c r="E7" s="15">
        <v>1</v>
      </c>
      <c r="F7" s="15">
        <v>0</v>
      </c>
      <c r="G7" s="15">
        <v>0</v>
      </c>
      <c r="H7" s="15">
        <v>0</v>
      </c>
      <c r="I7" s="15">
        <v>0</v>
      </c>
      <c r="J7" s="15">
        <v>1</v>
      </c>
      <c r="K7" s="15">
        <v>0</v>
      </c>
      <c r="L7" s="15">
        <v>0</v>
      </c>
      <c r="M7" s="15">
        <v>0</v>
      </c>
      <c r="N7" s="17">
        <v>2</v>
      </c>
      <c r="O7" s="14"/>
    </row>
    <row r="8" spans="1:15" x14ac:dyDescent="0.3">
      <c r="A8" s="22" t="s">
        <v>2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</v>
      </c>
      <c r="L8" s="15">
        <v>0</v>
      </c>
      <c r="M8" s="15">
        <v>0</v>
      </c>
      <c r="N8" s="17">
        <v>1</v>
      </c>
    </row>
    <row r="9" spans="1:15" x14ac:dyDescent="0.3">
      <c r="A9" s="22" t="s">
        <v>3</v>
      </c>
      <c r="B9" s="15">
        <v>4</v>
      </c>
      <c r="C9" s="15">
        <v>10</v>
      </c>
      <c r="D9" s="15">
        <v>12</v>
      </c>
      <c r="E9" s="15">
        <v>9</v>
      </c>
      <c r="F9" s="15">
        <v>20</v>
      </c>
      <c r="G9" s="15">
        <v>30</v>
      </c>
      <c r="H9" s="15">
        <v>27</v>
      </c>
      <c r="I9" s="15">
        <v>35</v>
      </c>
      <c r="J9" s="15">
        <v>33</v>
      </c>
      <c r="K9" s="15">
        <v>34</v>
      </c>
      <c r="L9" s="15">
        <v>19</v>
      </c>
      <c r="M9" s="15">
        <v>6</v>
      </c>
      <c r="N9" s="17">
        <v>239</v>
      </c>
    </row>
    <row r="10" spans="1:15" x14ac:dyDescent="0.3">
      <c r="A10" s="22" t="s">
        <v>4</v>
      </c>
      <c r="B10" s="15">
        <v>1</v>
      </c>
      <c r="C10" s="15">
        <v>0</v>
      </c>
      <c r="D10" s="15">
        <v>7</v>
      </c>
      <c r="E10" s="15">
        <v>2</v>
      </c>
      <c r="F10" s="15">
        <v>0</v>
      </c>
      <c r="G10" s="15">
        <v>3</v>
      </c>
      <c r="H10" s="15">
        <v>2</v>
      </c>
      <c r="I10" s="15">
        <v>2</v>
      </c>
      <c r="J10" s="15">
        <v>9</v>
      </c>
      <c r="K10" s="15">
        <v>3</v>
      </c>
      <c r="L10" s="15">
        <v>4</v>
      </c>
      <c r="M10" s="15">
        <v>0</v>
      </c>
      <c r="N10" s="17">
        <v>33</v>
      </c>
    </row>
    <row r="11" spans="1:15" x14ac:dyDescent="0.3">
      <c r="A11" s="22" t="s">
        <v>5</v>
      </c>
      <c r="B11" s="15">
        <v>0</v>
      </c>
      <c r="C11" s="15">
        <v>0</v>
      </c>
      <c r="D11" s="15">
        <v>0</v>
      </c>
      <c r="E11" s="15">
        <v>0</v>
      </c>
      <c r="F11" s="15">
        <v>1</v>
      </c>
      <c r="G11" s="15">
        <v>0</v>
      </c>
      <c r="H11" s="15">
        <v>0</v>
      </c>
      <c r="I11" s="15">
        <v>1</v>
      </c>
      <c r="J11" s="15">
        <v>0</v>
      </c>
      <c r="K11" s="15">
        <v>0</v>
      </c>
      <c r="L11" s="15">
        <v>0</v>
      </c>
      <c r="M11" s="15">
        <v>0</v>
      </c>
      <c r="N11" s="17">
        <v>2</v>
      </c>
    </row>
    <row r="12" spans="1:15" x14ac:dyDescent="0.3">
      <c r="A12" s="22" t="s">
        <v>6</v>
      </c>
      <c r="B12" s="15">
        <v>0</v>
      </c>
      <c r="C12" s="15">
        <v>0</v>
      </c>
      <c r="D12" s="15">
        <v>1</v>
      </c>
      <c r="E12" s="15">
        <v>1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1</v>
      </c>
      <c r="M12" s="15">
        <v>0</v>
      </c>
      <c r="N12" s="17">
        <v>3</v>
      </c>
    </row>
    <row r="13" spans="1:15" x14ac:dyDescent="0.3">
      <c r="A13" s="22" t="s">
        <v>185</v>
      </c>
      <c r="B13" s="15">
        <v>0</v>
      </c>
      <c r="C13" s="15">
        <v>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1</v>
      </c>
      <c r="J13" s="15">
        <v>1</v>
      </c>
      <c r="K13" s="15">
        <v>0</v>
      </c>
      <c r="L13" s="15">
        <v>0</v>
      </c>
      <c r="M13" s="15">
        <v>0</v>
      </c>
      <c r="N13" s="17">
        <v>3</v>
      </c>
    </row>
    <row r="14" spans="1:15" x14ac:dyDescent="0.3">
      <c r="A14" s="22" t="s">
        <v>7</v>
      </c>
      <c r="B14" s="15">
        <v>0</v>
      </c>
      <c r="C14" s="15">
        <v>0</v>
      </c>
      <c r="D14" s="15">
        <v>1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7">
        <v>1</v>
      </c>
    </row>
    <row r="15" spans="1:15" x14ac:dyDescent="0.3">
      <c r="A15" s="22" t="s">
        <v>8</v>
      </c>
      <c r="B15" s="15">
        <v>1</v>
      </c>
      <c r="C15" s="15">
        <v>7</v>
      </c>
      <c r="D15" s="15">
        <v>3</v>
      </c>
      <c r="E15" s="15">
        <v>5</v>
      </c>
      <c r="F15" s="15">
        <v>8</v>
      </c>
      <c r="G15" s="15">
        <v>6</v>
      </c>
      <c r="H15" s="15">
        <v>14</v>
      </c>
      <c r="I15" s="15">
        <v>7</v>
      </c>
      <c r="J15" s="15">
        <v>5</v>
      </c>
      <c r="K15" s="15">
        <v>10</v>
      </c>
      <c r="L15" s="15">
        <v>0</v>
      </c>
      <c r="M15" s="15">
        <v>3</v>
      </c>
      <c r="N15" s="17">
        <v>69</v>
      </c>
    </row>
    <row r="16" spans="1:15" x14ac:dyDescent="0.3">
      <c r="A16" s="22" t="s">
        <v>9</v>
      </c>
      <c r="B16" s="4">
        <v>2</v>
      </c>
      <c r="C16" s="4">
        <v>2</v>
      </c>
      <c r="D16" s="4">
        <v>1</v>
      </c>
      <c r="E16" s="4">
        <v>0</v>
      </c>
      <c r="F16" s="4">
        <v>1</v>
      </c>
      <c r="G16" s="4">
        <v>1</v>
      </c>
      <c r="H16" s="4">
        <v>0</v>
      </c>
      <c r="I16" s="4">
        <v>4</v>
      </c>
      <c r="J16" s="15">
        <v>3</v>
      </c>
      <c r="K16" s="15">
        <v>3</v>
      </c>
      <c r="L16" s="15">
        <v>0</v>
      </c>
      <c r="M16" s="15">
        <v>0</v>
      </c>
      <c r="N16" s="17">
        <v>17</v>
      </c>
    </row>
    <row r="17" spans="1:14" x14ac:dyDescent="0.3">
      <c r="A17" s="22" t="s">
        <v>10</v>
      </c>
      <c r="B17" s="15">
        <v>35</v>
      </c>
      <c r="C17" s="15">
        <v>49</v>
      </c>
      <c r="D17" s="15">
        <v>56</v>
      </c>
      <c r="E17" s="15">
        <v>42</v>
      </c>
      <c r="F17" s="15">
        <v>47</v>
      </c>
      <c r="G17" s="15">
        <v>79</v>
      </c>
      <c r="H17" s="15">
        <v>72</v>
      </c>
      <c r="I17" s="15">
        <v>64</v>
      </c>
      <c r="J17" s="15">
        <v>76</v>
      </c>
      <c r="K17" s="15">
        <v>78</v>
      </c>
      <c r="L17" s="15">
        <v>45</v>
      </c>
      <c r="M17" s="15">
        <v>45</v>
      </c>
      <c r="N17" s="17">
        <v>688</v>
      </c>
    </row>
    <row r="18" spans="1:14" x14ac:dyDescent="0.3">
      <c r="A18" s="22" t="s">
        <v>11</v>
      </c>
      <c r="B18" s="15">
        <v>6</v>
      </c>
      <c r="C18" s="15">
        <v>1</v>
      </c>
      <c r="D18" s="15">
        <v>1</v>
      </c>
      <c r="E18" s="15">
        <v>1</v>
      </c>
      <c r="F18" s="15">
        <v>1</v>
      </c>
      <c r="G18" s="15">
        <v>1</v>
      </c>
      <c r="H18" s="15">
        <v>3</v>
      </c>
      <c r="I18" s="15">
        <v>4</v>
      </c>
      <c r="J18" s="15">
        <v>2</v>
      </c>
      <c r="K18" s="15">
        <v>3</v>
      </c>
      <c r="L18" s="15">
        <v>2</v>
      </c>
      <c r="M18" s="15">
        <v>2</v>
      </c>
      <c r="N18" s="17">
        <v>27</v>
      </c>
    </row>
    <row r="19" spans="1:14" x14ac:dyDescent="0.3">
      <c r="A19" s="22" t="s">
        <v>13</v>
      </c>
      <c r="B19" s="15">
        <v>3</v>
      </c>
      <c r="C19" s="15">
        <v>2</v>
      </c>
      <c r="D19" s="15">
        <v>2</v>
      </c>
      <c r="E19" s="15">
        <v>5</v>
      </c>
      <c r="F19" s="15">
        <v>1</v>
      </c>
      <c r="G19" s="15">
        <v>6</v>
      </c>
      <c r="H19" s="15">
        <v>2</v>
      </c>
      <c r="I19" s="15">
        <v>4</v>
      </c>
      <c r="J19" s="15">
        <v>3</v>
      </c>
      <c r="K19" s="15">
        <v>5</v>
      </c>
      <c r="L19" s="15">
        <v>1</v>
      </c>
      <c r="M19" s="15">
        <v>0</v>
      </c>
      <c r="N19" s="17">
        <v>34</v>
      </c>
    </row>
    <row r="20" spans="1:14" x14ac:dyDescent="0.3">
      <c r="A20" s="22" t="s">
        <v>12</v>
      </c>
      <c r="B20" s="15">
        <v>0</v>
      </c>
      <c r="C20" s="15">
        <v>13</v>
      </c>
      <c r="D20" s="15">
        <v>10</v>
      </c>
      <c r="E20" s="15">
        <v>11</v>
      </c>
      <c r="F20" s="15">
        <v>3</v>
      </c>
      <c r="G20" s="15">
        <v>5</v>
      </c>
      <c r="H20" s="15">
        <v>4</v>
      </c>
      <c r="I20" s="15">
        <v>4</v>
      </c>
      <c r="J20" s="15">
        <v>7</v>
      </c>
      <c r="K20" s="15">
        <v>12</v>
      </c>
      <c r="L20" s="15">
        <v>4</v>
      </c>
      <c r="M20" s="15">
        <v>10</v>
      </c>
      <c r="N20" s="17">
        <v>83</v>
      </c>
    </row>
    <row r="21" spans="1:14" x14ac:dyDescent="0.3">
      <c r="A21" s="22" t="s">
        <v>14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1</v>
      </c>
      <c r="K21" s="15">
        <v>0</v>
      </c>
      <c r="L21" s="15">
        <v>0</v>
      </c>
      <c r="M21" s="15">
        <v>0</v>
      </c>
      <c r="N21" s="17">
        <v>1</v>
      </c>
    </row>
    <row r="22" spans="1:14" x14ac:dyDescent="0.3">
      <c r="A22" s="22" t="s">
        <v>15</v>
      </c>
      <c r="B22" s="15">
        <v>6</v>
      </c>
      <c r="C22" s="15">
        <v>7</v>
      </c>
      <c r="D22" s="15">
        <v>4</v>
      </c>
      <c r="E22" s="15">
        <v>0</v>
      </c>
      <c r="F22" s="15">
        <v>1</v>
      </c>
      <c r="G22" s="15">
        <v>3</v>
      </c>
      <c r="H22" s="15">
        <v>1</v>
      </c>
      <c r="I22" s="15">
        <v>2</v>
      </c>
      <c r="J22" s="15">
        <v>1</v>
      </c>
      <c r="K22" s="15">
        <v>4</v>
      </c>
      <c r="L22" s="15">
        <v>2</v>
      </c>
      <c r="M22" s="15">
        <v>2</v>
      </c>
      <c r="N22" s="17">
        <v>33</v>
      </c>
    </row>
    <row r="23" spans="1:14" x14ac:dyDescent="0.3">
      <c r="A23" s="22" t="s">
        <v>16</v>
      </c>
      <c r="B23" s="15">
        <v>1</v>
      </c>
      <c r="C23" s="15">
        <v>1</v>
      </c>
      <c r="D23" s="15">
        <v>1</v>
      </c>
      <c r="E23" s="15">
        <v>1</v>
      </c>
      <c r="F23" s="15">
        <v>1</v>
      </c>
      <c r="G23" s="15">
        <v>2</v>
      </c>
      <c r="H23" s="15">
        <v>3</v>
      </c>
      <c r="I23" s="15">
        <v>2</v>
      </c>
      <c r="J23" s="15">
        <v>4</v>
      </c>
      <c r="K23" s="15">
        <v>2</v>
      </c>
      <c r="L23" s="15">
        <v>2</v>
      </c>
      <c r="M23" s="15">
        <v>1</v>
      </c>
      <c r="N23" s="17">
        <v>21</v>
      </c>
    </row>
    <row r="24" spans="1:14" x14ac:dyDescent="0.3">
      <c r="A24" s="22" t="s">
        <v>17</v>
      </c>
      <c r="B24" s="15">
        <v>3</v>
      </c>
      <c r="C24" s="15">
        <v>10</v>
      </c>
      <c r="D24" s="15">
        <v>11</v>
      </c>
      <c r="E24" s="15">
        <v>9</v>
      </c>
      <c r="F24" s="15">
        <v>13</v>
      </c>
      <c r="G24" s="15">
        <v>10</v>
      </c>
      <c r="H24" s="15">
        <v>8</v>
      </c>
      <c r="I24" s="15">
        <v>5</v>
      </c>
      <c r="J24" s="15">
        <v>11</v>
      </c>
      <c r="K24" s="15">
        <v>24</v>
      </c>
      <c r="L24" s="15">
        <v>1</v>
      </c>
      <c r="M24" s="15">
        <v>4</v>
      </c>
      <c r="N24" s="17">
        <v>109</v>
      </c>
    </row>
    <row r="25" spans="1:14" x14ac:dyDescent="0.3">
      <c r="A25" s="22" t="s">
        <v>18</v>
      </c>
      <c r="B25" s="15">
        <v>0</v>
      </c>
      <c r="C25" s="15">
        <v>7</v>
      </c>
      <c r="D25" s="15">
        <v>17</v>
      </c>
      <c r="E25" s="15">
        <v>8</v>
      </c>
      <c r="F25" s="15">
        <v>12</v>
      </c>
      <c r="G25" s="15">
        <v>9</v>
      </c>
      <c r="H25" s="15">
        <v>11</v>
      </c>
      <c r="I25" s="15">
        <v>12</v>
      </c>
      <c r="J25" s="15">
        <v>11</v>
      </c>
      <c r="K25" s="15">
        <v>10</v>
      </c>
      <c r="L25" s="15">
        <v>3</v>
      </c>
      <c r="M25" s="15">
        <v>1</v>
      </c>
      <c r="N25" s="17">
        <v>101</v>
      </c>
    </row>
    <row r="26" spans="1:14" x14ac:dyDescent="0.3">
      <c r="A26" s="22" t="s">
        <v>19</v>
      </c>
      <c r="B26" s="15">
        <v>4</v>
      </c>
      <c r="C26" s="15">
        <v>0</v>
      </c>
      <c r="D26" s="15">
        <v>1</v>
      </c>
      <c r="E26" s="15">
        <v>1</v>
      </c>
      <c r="F26" s="15">
        <v>2</v>
      </c>
      <c r="G26" s="15">
        <v>1</v>
      </c>
      <c r="H26" s="15">
        <v>0</v>
      </c>
      <c r="I26" s="15">
        <v>1</v>
      </c>
      <c r="J26" s="15">
        <v>3</v>
      </c>
      <c r="K26" s="15">
        <v>2</v>
      </c>
      <c r="L26" s="15">
        <v>2</v>
      </c>
      <c r="M26" s="15">
        <v>1</v>
      </c>
      <c r="N26" s="17">
        <v>18</v>
      </c>
    </row>
    <row r="27" spans="1:14" x14ac:dyDescent="0.3">
      <c r="A27" s="23" t="s">
        <v>20</v>
      </c>
      <c r="B27" s="16">
        <v>4</v>
      </c>
      <c r="C27" s="16">
        <v>2</v>
      </c>
      <c r="D27" s="16">
        <v>0</v>
      </c>
      <c r="E27" s="16">
        <v>2</v>
      </c>
      <c r="F27" s="16">
        <v>3</v>
      </c>
      <c r="G27" s="16">
        <v>4</v>
      </c>
      <c r="H27" s="16">
        <v>4</v>
      </c>
      <c r="I27" s="16">
        <v>3</v>
      </c>
      <c r="J27" s="16">
        <v>1</v>
      </c>
      <c r="K27" s="16">
        <v>7</v>
      </c>
      <c r="L27" s="16">
        <v>2</v>
      </c>
      <c r="M27" s="16">
        <v>0</v>
      </c>
      <c r="N27" s="18">
        <v>32</v>
      </c>
    </row>
    <row r="28" spans="1:14" x14ac:dyDescent="0.3">
      <c r="A28" s="22" t="s">
        <v>27</v>
      </c>
      <c r="B28" s="15">
        <v>73</v>
      </c>
      <c r="C28" s="15">
        <v>114</v>
      </c>
      <c r="D28" s="15">
        <v>129</v>
      </c>
      <c r="E28" s="15">
        <v>101</v>
      </c>
      <c r="F28" s="15">
        <v>115</v>
      </c>
      <c r="G28" s="15">
        <v>162</v>
      </c>
      <c r="H28" s="15">
        <v>154</v>
      </c>
      <c r="I28" s="15">
        <v>158</v>
      </c>
      <c r="J28" s="15">
        <v>176</v>
      </c>
      <c r="K28" s="15">
        <v>205</v>
      </c>
      <c r="L28" s="15">
        <v>92</v>
      </c>
      <c r="M28" s="15">
        <v>75</v>
      </c>
      <c r="N28" s="17">
        <v>1554</v>
      </c>
    </row>
    <row r="29" spans="1:14" x14ac:dyDescent="0.3">
      <c r="A29" s="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3">
      <c r="A30" s="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3">
      <c r="A31" s="1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3">
      <c r="A32" s="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3">
      <c r="A33" s="1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7" spans="1:14" x14ac:dyDescent="0.3">
      <c r="A37" s="1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4D50-DEA2-4BC9-80B4-7F28C933CBF0}">
  <dimension ref="A3:R93"/>
  <sheetViews>
    <sheetView topLeftCell="C18" workbookViewId="0">
      <selection activeCell="L31" sqref="L31"/>
    </sheetView>
  </sheetViews>
  <sheetFormatPr defaultRowHeight="14.4" x14ac:dyDescent="0.3"/>
  <cols>
    <col min="1" max="1" width="22.88671875" customWidth="1"/>
    <col min="2" max="10" width="8.88671875" style="4"/>
    <col min="17" max="17" width="45" customWidth="1"/>
  </cols>
  <sheetData>
    <row r="3" spans="1:17" x14ac:dyDescent="0.3">
      <c r="A3" s="2" t="s">
        <v>184</v>
      </c>
      <c r="P3" s="2" t="s">
        <v>183</v>
      </c>
    </row>
    <row r="6" spans="1:17" x14ac:dyDescent="0.3">
      <c r="Q6" s="1"/>
    </row>
    <row r="7" spans="1:17" x14ac:dyDescent="0.3">
      <c r="Q7" s="1"/>
    </row>
    <row r="8" spans="1:17" x14ac:dyDescent="0.3">
      <c r="Q8" s="1"/>
    </row>
    <row r="9" spans="1:17" x14ac:dyDescent="0.3">
      <c r="Q9" s="1"/>
    </row>
    <row r="10" spans="1:17" x14ac:dyDescent="0.3">
      <c r="Q10" s="1"/>
    </row>
    <row r="11" spans="1:17" x14ac:dyDescent="0.3">
      <c r="Q11" s="1"/>
    </row>
    <row r="12" spans="1:17" x14ac:dyDescent="0.3">
      <c r="Q12" s="1"/>
    </row>
    <row r="13" spans="1:17" x14ac:dyDescent="0.3">
      <c r="Q13" s="1"/>
    </row>
    <row r="14" spans="1:17" x14ac:dyDescent="0.3">
      <c r="Q14" s="1"/>
    </row>
    <row r="15" spans="1:17" x14ac:dyDescent="0.3">
      <c r="Q15" s="1"/>
    </row>
    <row r="16" spans="1:17" x14ac:dyDescent="0.3">
      <c r="Q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Q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Q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8" x14ac:dyDescent="0.3">
      <c r="A27" s="2" t="s">
        <v>182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Q27" s="2" t="s">
        <v>182</v>
      </c>
    </row>
    <row r="28" spans="1:18" x14ac:dyDescent="0.3">
      <c r="A28" s="12" t="s">
        <v>38</v>
      </c>
      <c r="B28" s="12">
        <v>2013</v>
      </c>
      <c r="C28" s="12">
        <v>2014</v>
      </c>
      <c r="D28" s="12">
        <v>2015</v>
      </c>
      <c r="E28" s="12">
        <v>2016</v>
      </c>
      <c r="F28" s="12">
        <v>2017</v>
      </c>
      <c r="G28" s="12">
        <v>2018</v>
      </c>
      <c r="H28" s="12">
        <v>2019</v>
      </c>
      <c r="I28" s="12">
        <v>2020</v>
      </c>
      <c r="J28" s="12">
        <v>2021</v>
      </c>
      <c r="K28" s="12">
        <v>2022</v>
      </c>
      <c r="L28" s="12">
        <v>2023</v>
      </c>
      <c r="M28" s="12">
        <v>2024</v>
      </c>
      <c r="N28" s="12" t="s">
        <v>27</v>
      </c>
      <c r="Q28" s="12" t="s">
        <v>38</v>
      </c>
      <c r="R28" s="12" t="s">
        <v>27</v>
      </c>
    </row>
    <row r="29" spans="1:18" x14ac:dyDescent="0.3">
      <c r="A29" s="1" t="s">
        <v>172</v>
      </c>
      <c r="B29" s="1">
        <v>32</v>
      </c>
      <c r="C29" s="1">
        <v>44</v>
      </c>
      <c r="D29" s="1">
        <v>45</v>
      </c>
      <c r="E29" s="1">
        <v>48</v>
      </c>
      <c r="F29" s="1">
        <v>33</v>
      </c>
      <c r="G29" s="1">
        <v>39</v>
      </c>
      <c r="H29" s="1">
        <v>54</v>
      </c>
      <c r="I29" s="1">
        <v>53</v>
      </c>
      <c r="J29" s="1">
        <v>48</v>
      </c>
      <c r="K29" s="1">
        <v>64</v>
      </c>
      <c r="L29" s="1">
        <v>69</v>
      </c>
      <c r="M29" s="1">
        <v>35</v>
      </c>
      <c r="N29">
        <v>574</v>
      </c>
      <c r="Q29" s="1" t="s">
        <v>172</v>
      </c>
      <c r="R29" s="13">
        <v>574</v>
      </c>
    </row>
    <row r="30" spans="1:18" x14ac:dyDescent="0.3">
      <c r="A30" s="1" t="s">
        <v>173</v>
      </c>
      <c r="B30" s="1">
        <v>8</v>
      </c>
      <c r="C30" s="1">
        <v>2</v>
      </c>
      <c r="D30" s="1">
        <v>13</v>
      </c>
      <c r="E30" s="1">
        <v>23</v>
      </c>
      <c r="F30" s="1">
        <v>10</v>
      </c>
      <c r="G30" s="1">
        <v>12</v>
      </c>
      <c r="H30" s="1">
        <v>13</v>
      </c>
      <c r="I30" s="1">
        <v>13</v>
      </c>
      <c r="J30" s="1">
        <v>15</v>
      </c>
      <c r="K30" s="1">
        <v>14</v>
      </c>
      <c r="L30" s="1">
        <v>15</v>
      </c>
      <c r="M30" s="1">
        <v>4</v>
      </c>
      <c r="N30">
        <v>142</v>
      </c>
      <c r="Q30" s="1" t="s">
        <v>173</v>
      </c>
      <c r="R30" s="13">
        <v>142</v>
      </c>
    </row>
    <row r="31" spans="1:18" x14ac:dyDescent="0.3">
      <c r="A31" s="1" t="s">
        <v>39</v>
      </c>
      <c r="B31" s="1">
        <v>3</v>
      </c>
      <c r="C31" s="1">
        <v>1</v>
      </c>
      <c r="D31" s="1">
        <v>2</v>
      </c>
      <c r="E31" s="1">
        <v>4</v>
      </c>
      <c r="F31" s="1">
        <v>5</v>
      </c>
      <c r="G31" s="1">
        <v>4</v>
      </c>
      <c r="H31" s="1">
        <v>9</v>
      </c>
      <c r="I31" s="1">
        <v>8</v>
      </c>
      <c r="J31" s="1">
        <v>5</v>
      </c>
      <c r="K31" s="1">
        <v>6</v>
      </c>
      <c r="L31" s="1">
        <v>12</v>
      </c>
      <c r="M31" s="1">
        <v>7</v>
      </c>
      <c r="N31">
        <v>66</v>
      </c>
      <c r="Q31" s="1" t="s">
        <v>39</v>
      </c>
      <c r="R31" s="13">
        <v>66</v>
      </c>
    </row>
    <row r="32" spans="1:18" x14ac:dyDescent="0.3">
      <c r="A32" s="1" t="s">
        <v>174</v>
      </c>
      <c r="B32" s="1">
        <v>4</v>
      </c>
      <c r="C32" s="1">
        <v>3</v>
      </c>
      <c r="D32" s="1">
        <v>3</v>
      </c>
      <c r="E32" s="1">
        <v>3</v>
      </c>
      <c r="F32" s="1">
        <v>3</v>
      </c>
      <c r="G32" s="1">
        <v>5</v>
      </c>
      <c r="H32" s="1">
        <v>7</v>
      </c>
      <c r="I32" s="1">
        <v>6</v>
      </c>
      <c r="J32" s="1">
        <v>8</v>
      </c>
      <c r="K32" s="1">
        <v>7</v>
      </c>
      <c r="L32" s="1">
        <v>7</v>
      </c>
      <c r="M32" s="1">
        <v>6</v>
      </c>
      <c r="N32">
        <v>62</v>
      </c>
      <c r="Q32" s="1" t="s">
        <v>174</v>
      </c>
      <c r="R32" s="13">
        <v>62</v>
      </c>
    </row>
    <row r="33" spans="1:18" x14ac:dyDescent="0.3">
      <c r="A33" s="1" t="s">
        <v>175</v>
      </c>
      <c r="B33" s="1">
        <v>1</v>
      </c>
      <c r="C33" s="1">
        <v>2</v>
      </c>
      <c r="D33" s="1">
        <v>7</v>
      </c>
      <c r="E33" s="1">
        <v>3</v>
      </c>
      <c r="F33" s="1">
        <v>4</v>
      </c>
      <c r="G33" s="1">
        <v>6</v>
      </c>
      <c r="H33" s="1">
        <v>6</v>
      </c>
      <c r="I33" s="1">
        <v>13</v>
      </c>
      <c r="J33" s="1">
        <v>7</v>
      </c>
      <c r="K33" s="1">
        <v>5</v>
      </c>
      <c r="L33" s="1">
        <v>7</v>
      </c>
      <c r="M33" s="1">
        <v>0</v>
      </c>
      <c r="N33">
        <v>61</v>
      </c>
      <c r="Q33" s="1" t="s">
        <v>175</v>
      </c>
      <c r="R33" s="13">
        <v>61</v>
      </c>
    </row>
    <row r="34" spans="1:18" x14ac:dyDescent="0.3">
      <c r="A34" s="1" t="s">
        <v>176</v>
      </c>
      <c r="B34" s="1">
        <v>0</v>
      </c>
      <c r="C34" s="1">
        <v>0</v>
      </c>
      <c r="D34" s="1">
        <v>1</v>
      </c>
      <c r="E34" s="1">
        <v>5</v>
      </c>
      <c r="F34" s="1">
        <v>3</v>
      </c>
      <c r="G34" s="1">
        <v>5</v>
      </c>
      <c r="H34" s="1">
        <v>5</v>
      </c>
      <c r="I34" s="1">
        <v>2</v>
      </c>
      <c r="J34" s="1">
        <v>3</v>
      </c>
      <c r="K34" s="1">
        <v>8</v>
      </c>
      <c r="L34" s="1">
        <v>7</v>
      </c>
      <c r="M34" s="1">
        <v>1</v>
      </c>
      <c r="N34">
        <v>40</v>
      </c>
      <c r="Q34" s="1" t="s">
        <v>176</v>
      </c>
      <c r="R34" s="13">
        <v>40</v>
      </c>
    </row>
    <row r="35" spans="1:18" x14ac:dyDescent="0.3">
      <c r="A35" s="1" t="s">
        <v>177</v>
      </c>
      <c r="B35" s="1">
        <v>0</v>
      </c>
      <c r="C35" s="1">
        <v>8</v>
      </c>
      <c r="D35" s="1">
        <v>10</v>
      </c>
      <c r="E35" s="1">
        <v>4</v>
      </c>
      <c r="F35" s="1">
        <v>2</v>
      </c>
      <c r="G35" s="1">
        <v>1</v>
      </c>
      <c r="H35" s="1">
        <v>2</v>
      </c>
      <c r="I35" s="1">
        <v>0</v>
      </c>
      <c r="J35" s="1">
        <v>3</v>
      </c>
      <c r="K35" s="1">
        <v>4</v>
      </c>
      <c r="L35" s="1">
        <v>4</v>
      </c>
      <c r="M35" s="1">
        <v>1</v>
      </c>
      <c r="N35">
        <v>39</v>
      </c>
      <c r="Q35" s="1" t="s">
        <v>177</v>
      </c>
      <c r="R35" s="13">
        <v>39</v>
      </c>
    </row>
    <row r="36" spans="1:18" x14ac:dyDescent="0.3">
      <c r="A36" s="1" t="s">
        <v>178</v>
      </c>
      <c r="B36" s="1">
        <v>0</v>
      </c>
      <c r="C36" s="1">
        <v>0</v>
      </c>
      <c r="D36" s="1">
        <v>3</v>
      </c>
      <c r="E36" s="1">
        <v>0</v>
      </c>
      <c r="F36" s="1">
        <v>1</v>
      </c>
      <c r="G36" s="1">
        <v>4</v>
      </c>
      <c r="H36" s="1">
        <v>4</v>
      </c>
      <c r="I36" s="1">
        <v>8</v>
      </c>
      <c r="J36" s="1">
        <v>6</v>
      </c>
      <c r="K36" s="1">
        <v>3</v>
      </c>
      <c r="L36" s="1">
        <v>4</v>
      </c>
      <c r="M36" s="1">
        <v>1</v>
      </c>
      <c r="N36">
        <v>34</v>
      </c>
      <c r="Q36" s="1" t="s">
        <v>178</v>
      </c>
      <c r="R36" s="13">
        <v>34</v>
      </c>
    </row>
    <row r="37" spans="1:18" x14ac:dyDescent="0.3">
      <c r="A37" s="1" t="s">
        <v>179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3</v>
      </c>
      <c r="H37" s="1">
        <v>5</v>
      </c>
      <c r="I37" s="1">
        <v>3</v>
      </c>
      <c r="J37" s="1">
        <v>9</v>
      </c>
      <c r="K37" s="1">
        <v>8</v>
      </c>
      <c r="L37" s="1">
        <v>3</v>
      </c>
      <c r="M37" s="1">
        <v>2</v>
      </c>
      <c r="N37">
        <v>34</v>
      </c>
      <c r="Q37" s="1" t="s">
        <v>179</v>
      </c>
      <c r="R37" s="13">
        <v>34</v>
      </c>
    </row>
    <row r="38" spans="1:18" x14ac:dyDescent="0.3">
      <c r="A38" s="1" t="s">
        <v>180</v>
      </c>
      <c r="B38" s="1">
        <v>0</v>
      </c>
      <c r="C38" s="1">
        <v>0</v>
      </c>
      <c r="D38" s="1">
        <v>0</v>
      </c>
      <c r="E38" s="1">
        <v>1</v>
      </c>
      <c r="F38" s="1">
        <v>1</v>
      </c>
      <c r="G38" s="1">
        <v>1</v>
      </c>
      <c r="H38" s="1">
        <v>12</v>
      </c>
      <c r="I38" s="1">
        <v>12</v>
      </c>
      <c r="J38" s="1">
        <v>2</v>
      </c>
      <c r="K38" s="1">
        <v>1</v>
      </c>
      <c r="L38" s="1">
        <v>1</v>
      </c>
      <c r="M38" s="1">
        <v>0</v>
      </c>
      <c r="N38">
        <v>31</v>
      </c>
      <c r="Q38" s="1" t="s">
        <v>180</v>
      </c>
      <c r="R38" s="13">
        <v>31</v>
      </c>
    </row>
    <row r="39" spans="1:18" x14ac:dyDescent="0.3">
      <c r="A39" s="1" t="s">
        <v>181</v>
      </c>
      <c r="B39" s="1">
        <v>3</v>
      </c>
      <c r="C39" s="1">
        <v>4</v>
      </c>
      <c r="D39" s="1">
        <v>5</v>
      </c>
      <c r="E39" s="1">
        <v>3</v>
      </c>
      <c r="F39" s="1">
        <v>1</v>
      </c>
      <c r="G39" s="1">
        <v>4</v>
      </c>
      <c r="H39" s="1">
        <v>3</v>
      </c>
      <c r="I39" s="1">
        <v>1</v>
      </c>
      <c r="J39" s="1">
        <v>1</v>
      </c>
      <c r="K39" s="1">
        <v>2</v>
      </c>
      <c r="L39" s="1">
        <v>4</v>
      </c>
      <c r="M39" s="1">
        <v>0</v>
      </c>
      <c r="N39">
        <v>31</v>
      </c>
      <c r="Q39" s="1" t="s">
        <v>181</v>
      </c>
      <c r="R39" s="13">
        <v>31</v>
      </c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3">
      <c r="A93" s="1" t="s">
        <v>27</v>
      </c>
      <c r="B93" s="1" t="s">
        <v>159</v>
      </c>
      <c r="C93" s="1" t="s">
        <v>160</v>
      </c>
      <c r="D93" s="1" t="s">
        <v>161</v>
      </c>
      <c r="E93" s="1" t="s">
        <v>162</v>
      </c>
      <c r="F93" s="1" t="s">
        <v>163</v>
      </c>
      <c r="G93" s="1" t="s">
        <v>164</v>
      </c>
      <c r="H93" s="1" t="s">
        <v>165</v>
      </c>
      <c r="I93" s="1" t="s">
        <v>166</v>
      </c>
      <c r="J93" s="1" t="s">
        <v>167</v>
      </c>
      <c r="K93" s="1" t="s">
        <v>168</v>
      </c>
      <c r="L93" s="1" t="s">
        <v>169</v>
      </c>
      <c r="M93" s="1" t="s">
        <v>170</v>
      </c>
      <c r="N93" s="1" t="s">
        <v>171</v>
      </c>
    </row>
  </sheetData>
  <sortState xmlns:xlrd2="http://schemas.microsoft.com/office/spreadsheetml/2017/richdata2" ref="A6:O92">
    <sortCondition descending="1" ref="O6:O92"/>
  </sortState>
  <phoneticPr fontId="8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Tabela 9.11</vt:lpstr>
      <vt:lpstr>Tabela 9.12</vt:lpstr>
      <vt:lpstr>Figura 9.1</vt:lpstr>
      <vt:lpstr>Tabela 9.13</vt:lpstr>
      <vt:lpstr>Tabela 9.14</vt:lpstr>
      <vt:lpstr>Tabela 9.15</vt:lpstr>
      <vt:lpstr>Gráfico 9.4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Lunelli</dc:creator>
  <cp:lastModifiedBy>Isabella Lunelli</cp:lastModifiedBy>
  <dcterms:created xsi:type="dcterms:W3CDTF">2025-03-26T01:20:43Z</dcterms:created>
  <dcterms:modified xsi:type="dcterms:W3CDTF">2025-04-15T04:28:13Z</dcterms:modified>
</cp:coreProperties>
</file>