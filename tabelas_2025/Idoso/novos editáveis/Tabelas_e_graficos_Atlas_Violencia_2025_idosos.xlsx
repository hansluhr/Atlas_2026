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gabli\Dropbox\Ipea\Atlas\Atlas 2025\base\Idoso\"/>
    </mc:Choice>
  </mc:AlternateContent>
  <xr:revisionPtr revIDLastSave="0" documentId="13_ncr:1_{30DBF633-9EDC-4A66-ACBB-F425035D2DE9}" xr6:coauthVersionLast="47" xr6:coauthVersionMax="47" xr10:uidLastSave="{00000000-0000-0000-0000-000000000000}"/>
  <bookViews>
    <workbookView xWindow="-120" yWindow="-120" windowWidth="29040" windowHeight="15720" tabRatio="818" xr2:uid="{06314811-4550-4A42-992F-623E4AC9F96E}"/>
  </bookViews>
  <sheets>
    <sheet name="DADOS DO GRÁFICO 10.1" sheetId="11" r:id="rId1"/>
    <sheet name="Gráfico 10.1" sheetId="1" r:id="rId2"/>
    <sheet name="Gráfico 10.2" sheetId="7" r:id="rId3"/>
    <sheet name="DADOS DO GRÁFICO 10.3" sheetId="12" r:id="rId4"/>
    <sheet name="Gráfico 10.3" sheetId="2" r:id="rId5"/>
    <sheet name="Tab 10.1" sheetId="3" r:id="rId6"/>
    <sheet name="Tab 10.2" sheetId="4" r:id="rId7"/>
    <sheet name="Tab 10.3 e 10.4" sheetId="5" r:id="rId8"/>
    <sheet name="Tab 10.5 e 10.6" sheetId="6" r:id="rId9"/>
    <sheet name="Mapa 10.1" sheetId="8" r:id="rId10"/>
    <sheet name="Tab 10.7" sheetId="9" r:id="rId11"/>
    <sheet name="Tab 10.8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6" i="6" l="1"/>
  <c r="N66" i="6"/>
  <c r="M66" i="6"/>
  <c r="O65" i="6"/>
  <c r="N65" i="6"/>
  <c r="O64" i="6"/>
  <c r="N64" i="6"/>
  <c r="M64" i="6"/>
  <c r="O63" i="6"/>
  <c r="N63" i="6"/>
  <c r="M63" i="6"/>
  <c r="O62" i="6"/>
  <c r="N62" i="6"/>
  <c r="M62" i="6"/>
  <c r="O61" i="6"/>
  <c r="N61" i="6"/>
  <c r="M61" i="6"/>
  <c r="O60" i="6"/>
  <c r="N60" i="6"/>
  <c r="M60" i="6"/>
  <c r="O59" i="6"/>
  <c r="N59" i="6"/>
  <c r="M59" i="6"/>
  <c r="O58" i="6"/>
  <c r="N58" i="6"/>
  <c r="M58" i="6"/>
  <c r="O57" i="6"/>
  <c r="N57" i="6"/>
  <c r="M57" i="6"/>
  <c r="O56" i="6"/>
  <c r="N56" i="6"/>
  <c r="M56" i="6"/>
  <c r="O55" i="6"/>
  <c r="N55" i="6"/>
  <c r="M55" i="6"/>
  <c r="O54" i="6"/>
  <c r="N54" i="6"/>
  <c r="M54" i="6"/>
  <c r="O53" i="6"/>
  <c r="N53" i="6"/>
  <c r="M53" i="6"/>
  <c r="O52" i="6"/>
  <c r="N52" i="6"/>
  <c r="M52" i="6"/>
  <c r="O51" i="6"/>
  <c r="N51" i="6"/>
  <c r="M51" i="6"/>
  <c r="O50" i="6"/>
  <c r="N50" i="6"/>
  <c r="M50" i="6"/>
  <c r="O49" i="6"/>
  <c r="N49" i="6"/>
  <c r="M49" i="6"/>
  <c r="O48" i="6"/>
  <c r="N48" i="6"/>
  <c r="M48" i="6"/>
  <c r="O47" i="6"/>
  <c r="N47" i="6"/>
  <c r="M47" i="6"/>
  <c r="O46" i="6"/>
  <c r="N46" i="6"/>
  <c r="M46" i="6"/>
  <c r="O45" i="6"/>
  <c r="N45" i="6"/>
  <c r="M45" i="6"/>
  <c r="O44" i="6"/>
  <c r="N44" i="6"/>
  <c r="M44" i="6"/>
  <c r="O43" i="6"/>
  <c r="N43" i="6"/>
  <c r="M43" i="6"/>
  <c r="O42" i="6"/>
  <c r="N42" i="6"/>
  <c r="O41" i="6"/>
  <c r="N41" i="6"/>
  <c r="M41" i="6"/>
  <c r="O40" i="6"/>
  <c r="N40" i="6"/>
  <c r="O39" i="6"/>
  <c r="N39" i="6"/>
  <c r="M39" i="6"/>
  <c r="O31" i="6"/>
  <c r="N31" i="6"/>
  <c r="M31" i="6"/>
  <c r="O30" i="6"/>
  <c r="N30" i="6"/>
  <c r="O29" i="6"/>
  <c r="N29" i="6"/>
  <c r="M29" i="6"/>
  <c r="O28" i="6"/>
  <c r="N28" i="6"/>
  <c r="M28" i="6"/>
  <c r="O27" i="6"/>
  <c r="N27" i="6"/>
  <c r="M27" i="6"/>
  <c r="O26" i="6"/>
  <c r="N26" i="6"/>
  <c r="M26" i="6"/>
  <c r="O25" i="6"/>
  <c r="N25" i="6"/>
  <c r="M25" i="6"/>
  <c r="O24" i="6"/>
  <c r="N24" i="6"/>
  <c r="M24" i="6"/>
  <c r="O23" i="6"/>
  <c r="N23" i="6"/>
  <c r="M23" i="6"/>
  <c r="O22" i="6"/>
  <c r="N22" i="6"/>
  <c r="M22" i="6"/>
  <c r="O21" i="6"/>
  <c r="N21" i="6"/>
  <c r="M21" i="6"/>
  <c r="O20" i="6"/>
  <c r="N20" i="6"/>
  <c r="M20" i="6"/>
  <c r="O19" i="6"/>
  <c r="N19" i="6"/>
  <c r="M19" i="6"/>
  <c r="O18" i="6"/>
  <c r="N18" i="6"/>
  <c r="M18" i="6"/>
  <c r="O17" i="6"/>
  <c r="N17" i="6"/>
  <c r="M17" i="6"/>
  <c r="O16" i="6"/>
  <c r="N16" i="6"/>
  <c r="M16" i="6"/>
  <c r="O15" i="6"/>
  <c r="N15" i="6"/>
  <c r="M15" i="6"/>
  <c r="O14" i="6"/>
  <c r="N14" i="6"/>
  <c r="M14" i="6"/>
  <c r="O13" i="6"/>
  <c r="N13" i="6"/>
  <c r="M13" i="6"/>
  <c r="O12" i="6"/>
  <c r="N12" i="6"/>
  <c r="M12" i="6"/>
  <c r="O11" i="6"/>
  <c r="N11" i="6"/>
  <c r="M11" i="6"/>
  <c r="O10" i="6"/>
  <c r="N10" i="6"/>
  <c r="M10" i="6"/>
  <c r="O9" i="6"/>
  <c r="N9" i="6"/>
  <c r="M9" i="6"/>
  <c r="O8" i="6"/>
  <c r="N8" i="6"/>
  <c r="M8" i="6"/>
  <c r="O7" i="6"/>
  <c r="N7" i="6"/>
  <c r="O6" i="6"/>
  <c r="N6" i="6"/>
  <c r="M6" i="6"/>
  <c r="O5" i="6"/>
  <c r="N5" i="6"/>
  <c r="O4" i="6"/>
  <c r="N4" i="6"/>
  <c r="M4" i="6"/>
  <c r="O66" i="5"/>
  <c r="N66" i="5"/>
  <c r="M66" i="5"/>
  <c r="O65" i="5"/>
  <c r="N65" i="5"/>
  <c r="M65" i="5"/>
  <c r="O64" i="5"/>
  <c r="N64" i="5"/>
  <c r="M64" i="5"/>
  <c r="O63" i="5"/>
  <c r="N63" i="5"/>
  <c r="M63" i="5"/>
  <c r="O62" i="5"/>
  <c r="N62" i="5"/>
  <c r="M62" i="5"/>
  <c r="O61" i="5"/>
  <c r="N61" i="5"/>
  <c r="M61" i="5"/>
  <c r="O60" i="5"/>
  <c r="N60" i="5"/>
  <c r="M60" i="5"/>
  <c r="O59" i="5"/>
  <c r="N59" i="5"/>
  <c r="M59" i="5"/>
  <c r="O58" i="5"/>
  <c r="N58" i="5"/>
  <c r="M58" i="5"/>
  <c r="O57" i="5"/>
  <c r="N57" i="5"/>
  <c r="M57" i="5"/>
  <c r="O56" i="5"/>
  <c r="N56" i="5"/>
  <c r="M56" i="5"/>
  <c r="O55" i="5"/>
  <c r="N55" i="5"/>
  <c r="M55" i="5"/>
  <c r="O54" i="5"/>
  <c r="N54" i="5"/>
  <c r="M54" i="5"/>
  <c r="O53" i="5"/>
  <c r="N53" i="5"/>
  <c r="M53" i="5"/>
  <c r="O52" i="5"/>
  <c r="N52" i="5"/>
  <c r="M52" i="5"/>
  <c r="O51" i="5"/>
  <c r="N51" i="5"/>
  <c r="M51" i="5"/>
  <c r="O50" i="5"/>
  <c r="N50" i="5"/>
  <c r="M50" i="5"/>
  <c r="O49" i="5"/>
  <c r="N49" i="5"/>
  <c r="M49" i="5"/>
  <c r="O48" i="5"/>
  <c r="N48" i="5"/>
  <c r="M48" i="5"/>
  <c r="O47" i="5"/>
  <c r="N47" i="5"/>
  <c r="M47" i="5"/>
  <c r="O46" i="5"/>
  <c r="N46" i="5"/>
  <c r="M46" i="5"/>
  <c r="O45" i="5"/>
  <c r="N45" i="5"/>
  <c r="M45" i="5"/>
  <c r="O44" i="5"/>
  <c r="N44" i="5"/>
  <c r="M44" i="5"/>
  <c r="O43" i="5"/>
  <c r="N43" i="5"/>
  <c r="M43" i="5"/>
  <c r="O42" i="5"/>
  <c r="N42" i="5"/>
  <c r="M42" i="5"/>
  <c r="O41" i="5"/>
  <c r="N41" i="5"/>
  <c r="M41" i="5"/>
  <c r="O40" i="5"/>
  <c r="N40" i="5"/>
  <c r="M40" i="5"/>
  <c r="O39" i="5"/>
  <c r="N39" i="5"/>
  <c r="M39" i="5"/>
  <c r="O31" i="5"/>
  <c r="N31" i="5"/>
  <c r="M31" i="5"/>
  <c r="O30" i="5"/>
  <c r="N30" i="5"/>
  <c r="M30" i="5"/>
  <c r="O29" i="5"/>
  <c r="N29" i="5"/>
  <c r="M29" i="5"/>
  <c r="O28" i="5"/>
  <c r="N28" i="5"/>
  <c r="M28" i="5"/>
  <c r="O27" i="5"/>
  <c r="N27" i="5"/>
  <c r="M27" i="5"/>
  <c r="O26" i="5"/>
  <c r="N26" i="5"/>
  <c r="M26" i="5"/>
  <c r="O25" i="5"/>
  <c r="N25" i="5"/>
  <c r="M25" i="5"/>
  <c r="O24" i="5"/>
  <c r="N24" i="5"/>
  <c r="M24" i="5"/>
  <c r="O23" i="5"/>
  <c r="N23" i="5"/>
  <c r="M23" i="5"/>
  <c r="O22" i="5"/>
  <c r="N22" i="5"/>
  <c r="M22" i="5"/>
  <c r="O21" i="5"/>
  <c r="N21" i="5"/>
  <c r="M21" i="5"/>
  <c r="O20" i="5"/>
  <c r="N20" i="5"/>
  <c r="M20" i="5"/>
  <c r="O19" i="5"/>
  <c r="N19" i="5"/>
  <c r="M19" i="5"/>
  <c r="O18" i="5"/>
  <c r="N18" i="5"/>
  <c r="M18" i="5"/>
  <c r="O17" i="5"/>
  <c r="N17" i="5"/>
  <c r="M17" i="5"/>
  <c r="O16" i="5"/>
  <c r="N16" i="5"/>
  <c r="M16" i="5"/>
  <c r="O15" i="5"/>
  <c r="N15" i="5"/>
  <c r="M15" i="5"/>
  <c r="O14" i="5"/>
  <c r="N14" i="5"/>
  <c r="M14" i="5"/>
  <c r="O13" i="5"/>
  <c r="N13" i="5"/>
  <c r="M13" i="5"/>
  <c r="O12" i="5"/>
  <c r="N12" i="5"/>
  <c r="M12" i="5"/>
  <c r="O11" i="5"/>
  <c r="N11" i="5"/>
  <c r="M11" i="5"/>
  <c r="O10" i="5"/>
  <c r="N10" i="5"/>
  <c r="M10" i="5"/>
  <c r="O9" i="5"/>
  <c r="N9" i="5"/>
  <c r="M9" i="5"/>
  <c r="O8" i="5"/>
  <c r="N8" i="5"/>
  <c r="M8" i="5"/>
  <c r="O7" i="5"/>
  <c r="N7" i="5"/>
  <c r="M7" i="5"/>
  <c r="O6" i="5"/>
  <c r="N6" i="5"/>
  <c r="M6" i="5"/>
  <c r="O5" i="5"/>
  <c r="N5" i="5"/>
  <c r="M5" i="5"/>
  <c r="O4" i="5"/>
  <c r="N4" i="5"/>
  <c r="M4" i="5"/>
  <c r="O19" i="3"/>
  <c r="N19" i="3"/>
  <c r="M19" i="3"/>
  <c r="O18" i="3"/>
  <c r="N18" i="3"/>
  <c r="M18" i="3"/>
  <c r="O17" i="3"/>
  <c r="N17" i="3"/>
  <c r="M17" i="3"/>
  <c r="O16" i="3"/>
  <c r="N16" i="3"/>
  <c r="M16" i="3"/>
  <c r="O13" i="3"/>
  <c r="N13" i="3"/>
  <c r="M13" i="3"/>
  <c r="O12" i="3"/>
  <c r="N12" i="3"/>
  <c r="M12" i="3"/>
  <c r="O11" i="3"/>
  <c r="N11" i="3"/>
  <c r="M11" i="3"/>
  <c r="O10" i="3"/>
  <c r="N10" i="3"/>
  <c r="M10" i="3"/>
  <c r="O7" i="3"/>
  <c r="N7" i="3"/>
  <c r="M7" i="3"/>
  <c r="O6" i="3"/>
  <c r="N6" i="3"/>
  <c r="M6" i="3"/>
  <c r="O5" i="3"/>
  <c r="N5" i="3"/>
  <c r="M5" i="3"/>
  <c r="O4" i="3"/>
  <c r="N4" i="3"/>
  <c r="M4" i="3"/>
</calcChain>
</file>

<file path=xl/sharedStrings.xml><?xml version="1.0" encoding="utf-8"?>
<sst xmlns="http://schemas.openxmlformats.org/spreadsheetml/2006/main" count="366" uniqueCount="106">
  <si>
    <t>Tabela 10.1 Brasil: Taxas de óbitos por causas externas de idosos por 100 mil habitantes por categoria, sexo e cor/raça (2013 a 2023)</t>
  </si>
  <si>
    <t>Homicídio</t>
  </si>
  <si>
    <t>Variação %</t>
  </si>
  <si>
    <t>2013 a 2023</t>
  </si>
  <si>
    <t>2022 a 2023</t>
  </si>
  <si>
    <t>2018 a 2023</t>
  </si>
  <si>
    <t>Homem negro</t>
  </si>
  <si>
    <t>Homem não negro</t>
  </si>
  <si>
    <t>Mulher negra</t>
  </si>
  <si>
    <t>Mulher não negra</t>
  </si>
  <si>
    <t>Quedas</t>
  </si>
  <si>
    <t>Acidente de Transporte</t>
  </si>
  <si>
    <t xml:space="preserve">Fonte: IBGE - Pesquisa Nacional por Amostra de Domicílios Contínua (PNADc) e MS/SVSA/CGIAE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Quedas correspondem às CID10: W00-W19. Acidente de Transporte engloba às CID10: V01-V99. A população de negros foi obtida pela soma de pretos e pardos. O número de não negros foi obtido pela soma de brancos, amarelos e indígenas. </t>
  </si>
  <si>
    <t>Tabela 10.2 Brasil: Número e taxa de internações de idosos por agressões por 100 mil habitantes por sexo, raça/cor e UF (2023)</t>
  </si>
  <si>
    <t>Homem</t>
  </si>
  <si>
    <t>Mulher</t>
  </si>
  <si>
    <t>negro</t>
  </si>
  <si>
    <t>não negro</t>
  </si>
  <si>
    <t>negra</t>
  </si>
  <si>
    <t>não negra</t>
  </si>
  <si>
    <t>nº</t>
  </si>
  <si>
    <t>taxa</t>
  </si>
  <si>
    <t>Brasil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</si>
  <si>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</si>
  <si>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</si>
  <si>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</si>
  <si>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</si>
  <si>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</si>
  <si>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</si>
  <si>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</si>
  <si>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</si>
  <si>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</si>
  <si>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</si>
  <si>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</si>
  <si>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</si>
  <si>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</si>
  <si>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</si>
  <si>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</si>
  <si>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</si>
  <si>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</si>
  <si>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</si>
  <si>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</si>
  <si>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</si>
  <si>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</si>
  <si>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</si>
  <si>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</si>
  <si>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</si>
  <si>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</si>
  <si>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</si>
  <si>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</si>
  <si>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Fonte: Ministério da Saúde - Sistema de Informações Hospitalares do SUS (SIH/SUS) e IBGE - Pesquisa Nacional por Amostra de Domicílios Contínua (PNADc). Elaboração: Diest/Ipea e FBSP. Nota: O número de internações por tentativa de homicídios na UF de residência foi obtido pela soma das seguintes CIDs 10: X85-Y09 e Y35 - Y36, ou seja, óbitos causados por agressão, intervenção legal e operações de guerra.</t>
  </si>
  <si>
    <t>Tabela 10.3 Brasil:  Número de agravos de notificação de violência interpessoal de idosos por UF (2013 a 2023)</t>
  </si>
  <si>
    <t>Número de agravos de notificação de violência interpessoal de idosos</t>
  </si>
  <si>
    <t>Fonte: Ministério da Saúde/SVS - Sistema de Informação de Agravos de Notificação (Sinan). Elaboração: Diest/Ipea e FBSP. Notas: 1- Em alguns anos a UF de residência da vítima não é informada. Assim, nestes anos o somatório de notificações nas UFs é inferior ao total nacional. 2 - Identificação das notificações segue metodologia apresentada na seção de PCD. 3 - Microdados do Sinan referentes a 2023 são preliminares e foram coletados em fevereiro de 2025.</t>
  </si>
  <si>
    <t>Tabela 10.4 Brasil: Taxa de agravos de notificação de violência interpessoal de idosos por 100 mil habitantes por UF (2013 a 2023)</t>
  </si>
  <si>
    <t>Taxa de agravos de notificação de violência interpessoal de idosos por 100 mil habitantes</t>
  </si>
  <si>
    <t>Fonte:  IBGE - Pesquisa Nacional por Amostra de Domicílios Contínua (PNADc) e Ministério da Saúde/SVS - Sistema de Informação de Agravos de Notificação (Sinan). Elaboração: Diest/Ipea e FBSP. Notas: 1- Em alguns anos a UF de residência da vítima não é informada. Assim, nestes anos o somatório de notificações nas UF é inferior ao total nacional. 2- Identificação das notificações segue metodologia apresentada na seção de PCD. 3- Microdados do Sinan referentes a 2023 são preliminares e foram coletados em fevereiro de 2025.</t>
  </si>
  <si>
    <t>Tabela 10.5 Brasil: Número de agravos de notificação de lesão autoprovocada de idosos por UF (2013 a 2023)</t>
  </si>
  <si>
    <t>Número de agravos de notificação de lesão autoprovocada de idosos</t>
  </si>
  <si>
    <t>2012 a 2022</t>
  </si>
  <si>
    <t>2021 a 2022</t>
  </si>
  <si>
    <t>2017 a 2022</t>
  </si>
  <si>
    <t>-</t>
  </si>
  <si>
    <t>Fonte: Ministério da Saúde/SVS - Sistema de Informação de Agravos de Notificação (Sinan). Elaboração: Diest/Ipea e FBSP. Notas: 1- Em alguns anos a UF de residência da vítima não é informada. Assim, nestes anos o somatório de notificações nas UFs é inferior ao total nacional. 2- Identificação das notificações segue metodologia apresentada na seção de PCD. 3- Microdados do Sinan referentes a 2023 são preliminares e foram coletados em fevereiro de 2025.</t>
  </si>
  <si>
    <t>Tabela 10.6 Brasil: Taxa de agravos de notificação de lesão autoprovocada de idosos por 100 mil habitantes por UF (2013 a 2023)</t>
  </si>
  <si>
    <t>Taxa de agravos de notificação de lesão autoprovocada de idosos por 100 mil habitantes</t>
  </si>
  <si>
    <t>Fonte:  IBGE - Pesquisa Nacional por Amostra de Domicílios Contínua (PNADc) e Ministério da Saúde/SVS - Sistema de Informação de Agravos de Notificação (Sinan). Elaboração: Diest/Ipea e FBSP. Notas: 1- Em alguns anos a UF de residência da vítima não é informada. Assim, nestes anos o somatório de notificações nas UFs é inferior ao total nacional. 2- Identificação das notificações segue metodologia apresentada na seção de PCD. 3- Microdados do Sinan referentes a 2023 são preliminares e foram coletados em fevereiro de 2025.</t>
  </si>
  <si>
    <t>Distribuição da população idosa em domicílios improvisados por Ufs (2022)</t>
  </si>
  <si>
    <t>Fonte: IBGE - Censo Demográfico</t>
  </si>
  <si>
    <t>Tenda ou barraca de lona, plástico ou tecido</t>
  </si>
  <si>
    <t>Dentro de estabelecimento em funcionamento</t>
  </si>
  <si>
    <t>Estrutura improvisada em logradouro público, exceto tenda ou barraca</t>
  </si>
  <si>
    <t>Estrutura não residencial permanente degradada ou inacabada</t>
  </si>
  <si>
    <t>Veículos (carros, caminhões, trailers, barcos, etc.)</t>
  </si>
  <si>
    <t>Outros domicílios improvisados (abrigos naturais e outras estruturas improvisadas)</t>
  </si>
  <si>
    <t>Total</t>
  </si>
  <si>
    <t>Homens</t>
  </si>
  <si>
    <t>Mulheres</t>
  </si>
  <si>
    <t>Norte</t>
  </si>
  <si>
    <t>Nordeste</t>
  </si>
  <si>
    <t>Sudeste</t>
  </si>
  <si>
    <t>Sul</t>
  </si>
  <si>
    <t>Centro-Oeste</t>
  </si>
  <si>
    <t>Fonte: IBGE - Censo Demográfico, 2022</t>
  </si>
  <si>
    <t>Tabela 10.7: Distribuição percentual das pessoas idosas em domicílios particulares improvisados, por tipo - Brasil e grandes regiões por sexo (2022)</t>
  </si>
  <si>
    <t>NEGRO</t>
  </si>
  <si>
    <t>NÃO NEGRO</t>
  </si>
  <si>
    <t>TOTAL</t>
  </si>
  <si>
    <t xml:space="preserve"> </t>
  </si>
  <si>
    <t>HOMEM</t>
  </si>
  <si>
    <t>MULHER</t>
  </si>
  <si>
    <t>Tabela 10.8. Pessoas idosas em situação de rua inscritas no Cadúnico por UF, sexo e cor/raça (março/2025)</t>
  </si>
  <si>
    <t>Fonte: Cadastro Único - CADÚNICO/MDS.</t>
  </si>
  <si>
    <t>Gráfico 2 - Brasil: Razão negro idoso/negro população total por UF (2022)</t>
  </si>
  <si>
    <t>Razão negro idoso/negro população</t>
  </si>
  <si>
    <t>Fonte: IBGE/Censo Demográfico de 2022.</t>
  </si>
  <si>
    <t>Juventude</t>
  </si>
  <si>
    <t>Velhice</t>
  </si>
  <si>
    <t>Homem Negro</t>
  </si>
  <si>
    <t>Mulher Negra</t>
  </si>
  <si>
    <t>Homem Não Negro</t>
  </si>
  <si>
    <t>Mulher Não Negra</t>
  </si>
  <si>
    <t>Homens Negros</t>
  </si>
  <si>
    <t>Homens Não Negros</t>
  </si>
  <si>
    <t>Mulheres Negras</t>
  </si>
  <si>
    <t>Mulheres Não Negras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</si>
</sst>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0.0"/>
    <numFmt numFmtId="166" formatCode="_-* #,##0.0_-;\-* #,##0.0_-;_-* &quot;-&quot;??_-;_-@_-"/>
  </numFmts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name val="Calibri"/>
      <family val="2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sz val="12"/>
      <name val="Aptos Narrow"/>
      <family val="2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8"/>
      <color theme="1"/>
      <name val="Arial"/>
      <family val="2"/>
    </font>
    <font>
      <u/>
      <sz val="11"/>
      <color theme="1"/>
      <name val="Times New Roman"/>
      <family val="1"/>
    </font>
    <font>
      <b/>
      <u/>
      <sz val="8"/>
      <color theme="1"/>
      <name val="Arial"/>
      <family val="2"/>
    </font>
    <font>
      <u/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16">
    <xf numFmtId="0" fontId="0" fillId="0" borderId="0" xfId="0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2" borderId="1" xfId="0" applyFont="1" applyFill="1" applyBorder="1" applyAlignment="1">
      <alignment horizontal="center"/>
    </xf>
    <xf numFmtId="0" fontId="7" fillId="2" borderId="0" xfId="0" applyFont="1" applyFill="1"/>
    <xf numFmtId="0" fontId="5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9" fillId="2" borderId="0" xfId="0" applyFont="1" applyFill="1"/>
    <xf numFmtId="0" fontId="7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64" fontId="7" fillId="2" borderId="6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164" fontId="0" fillId="2" borderId="0" xfId="2" applyNumberFormat="1" applyFont="1" applyFill="1"/>
    <xf numFmtId="0" fontId="3" fillId="2" borderId="7" xfId="0" applyFont="1" applyFill="1" applyBorder="1"/>
    <xf numFmtId="0" fontId="7" fillId="2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164" fontId="7" fillId="2" borderId="8" xfId="0" applyNumberFormat="1" applyFont="1" applyFill="1" applyBorder="1" applyAlignment="1">
      <alignment horizontal="center"/>
    </xf>
    <xf numFmtId="164" fontId="7" fillId="2" borderId="7" xfId="0" applyNumberFormat="1" applyFont="1" applyFill="1" applyBorder="1" applyAlignment="1">
      <alignment horizontal="center"/>
    </xf>
    <xf numFmtId="165" fontId="10" fillId="2" borderId="0" xfId="0" applyNumberFormat="1" applyFont="1" applyFill="1" applyAlignment="1">
      <alignment horizontal="center"/>
    </xf>
    <xf numFmtId="165" fontId="10" fillId="2" borderId="7" xfId="0" applyNumberFormat="1" applyFont="1" applyFill="1" applyBorder="1" applyAlignment="1">
      <alignment horizontal="center"/>
    </xf>
    <xf numFmtId="0" fontId="11" fillId="2" borderId="9" xfId="0" applyFont="1" applyFill="1" applyBorder="1" applyAlignment="1">
      <alignment vertical="top"/>
    </xf>
    <xf numFmtId="0" fontId="11" fillId="2" borderId="0" xfId="3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4" fillId="2" borderId="7" xfId="0" applyFont="1" applyFill="1" applyBorder="1"/>
    <xf numFmtId="0" fontId="9" fillId="2" borderId="13" xfId="0" applyFont="1" applyFill="1" applyBorder="1"/>
    <xf numFmtId="3" fontId="9" fillId="2" borderId="13" xfId="0" applyNumberFormat="1" applyFont="1" applyFill="1" applyBorder="1" applyAlignment="1">
      <alignment horizontal="center"/>
    </xf>
    <xf numFmtId="165" fontId="9" fillId="2" borderId="12" xfId="0" applyNumberFormat="1" applyFont="1" applyFill="1" applyBorder="1" applyAlignment="1">
      <alignment horizontal="center"/>
    </xf>
    <xf numFmtId="165" fontId="9" fillId="2" borderId="13" xfId="0" applyNumberFormat="1" applyFont="1" applyFill="1" applyBorder="1" applyAlignment="1">
      <alignment horizontal="center"/>
    </xf>
    <xf numFmtId="165" fontId="4" fillId="2" borderId="14" xfId="0" applyNumberFormat="1" applyFont="1" applyFill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6" fontId="4" fillId="0" borderId="0" xfId="1" applyNumberFormat="1" applyFont="1"/>
    <xf numFmtId="0" fontId="9" fillId="2" borderId="7" xfId="0" applyFont="1" applyFill="1" applyBorder="1"/>
    <xf numFmtId="0" fontId="4" fillId="2" borderId="7" xfId="0" applyFont="1" applyFill="1" applyBorder="1" applyAlignment="1">
      <alignment horizontal="center"/>
    </xf>
    <xf numFmtId="165" fontId="4" fillId="2" borderId="10" xfId="0" applyNumberFormat="1" applyFont="1" applyFill="1" applyBorder="1" applyAlignment="1">
      <alignment horizontal="center"/>
    </xf>
    <xf numFmtId="165" fontId="4" fillId="2" borderId="7" xfId="0" applyNumberFormat="1" applyFont="1" applyFill="1" applyBorder="1" applyAlignment="1">
      <alignment horizontal="center"/>
    </xf>
    <xf numFmtId="0" fontId="12" fillId="2" borderId="0" xfId="0" applyFont="1" applyFill="1"/>
    <xf numFmtId="0" fontId="4" fillId="2" borderId="13" xfId="0" applyFont="1" applyFill="1" applyBorder="1"/>
    <xf numFmtId="0" fontId="9" fillId="2" borderId="15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3" fillId="2" borderId="0" xfId="0" applyFont="1" applyFill="1"/>
    <xf numFmtId="3" fontId="13" fillId="2" borderId="13" xfId="0" applyNumberFormat="1" applyFont="1" applyFill="1" applyBorder="1" applyAlignment="1">
      <alignment horizontal="center"/>
    </xf>
    <xf numFmtId="3" fontId="13" fillId="2" borderId="15" xfId="0" applyNumberFormat="1" applyFont="1" applyFill="1" applyBorder="1" applyAlignment="1">
      <alignment horizontal="center"/>
    </xf>
    <xf numFmtId="164" fontId="13" fillId="2" borderId="13" xfId="2" applyNumberFormat="1" applyFont="1" applyFill="1" applyBorder="1" applyAlignment="1">
      <alignment horizontal="center"/>
    </xf>
    <xf numFmtId="3" fontId="4" fillId="2" borderId="0" xfId="0" applyNumberFormat="1" applyFont="1" applyFill="1" applyAlignment="1">
      <alignment horizontal="center"/>
    </xf>
    <xf numFmtId="3" fontId="4" fillId="2" borderId="17" xfId="0" applyNumberFormat="1" applyFont="1" applyFill="1" applyBorder="1" applyAlignment="1">
      <alignment horizontal="center"/>
    </xf>
    <xf numFmtId="164" fontId="4" fillId="2" borderId="0" xfId="2" applyNumberFormat="1" applyFont="1" applyFill="1" applyAlignment="1">
      <alignment horizontal="center"/>
    </xf>
    <xf numFmtId="3" fontId="4" fillId="2" borderId="7" xfId="0" applyNumberFormat="1" applyFont="1" applyFill="1" applyBorder="1" applyAlignment="1">
      <alignment horizontal="center"/>
    </xf>
    <xf numFmtId="3" fontId="4" fillId="2" borderId="18" xfId="0" applyNumberFormat="1" applyFont="1" applyFill="1" applyBorder="1" applyAlignment="1">
      <alignment horizontal="center"/>
    </xf>
    <xf numFmtId="164" fontId="4" fillId="2" borderId="7" xfId="2" applyNumberFormat="1" applyFont="1" applyFill="1" applyBorder="1" applyAlignment="1">
      <alignment horizontal="center"/>
    </xf>
    <xf numFmtId="0" fontId="12" fillId="2" borderId="19" xfId="0" applyFont="1" applyFill="1" applyBorder="1" applyAlignment="1">
      <alignment horizontal="left"/>
    </xf>
    <xf numFmtId="0" fontId="4" fillId="2" borderId="19" xfId="0" applyFont="1" applyFill="1" applyBorder="1"/>
    <xf numFmtId="0" fontId="12" fillId="2" borderId="0" xfId="0" applyFont="1" applyFill="1" applyAlignment="1">
      <alignment horizontal="left"/>
    </xf>
    <xf numFmtId="0" fontId="12" fillId="0" borderId="0" xfId="0" applyFont="1"/>
    <xf numFmtId="165" fontId="13" fillId="2" borderId="13" xfId="0" applyNumberFormat="1" applyFont="1" applyFill="1" applyBorder="1" applyAlignment="1">
      <alignment horizontal="center"/>
    </xf>
    <xf numFmtId="165" fontId="13" fillId="2" borderId="15" xfId="0" applyNumberFormat="1" applyFont="1" applyFill="1" applyBorder="1" applyAlignment="1">
      <alignment horizontal="center"/>
    </xf>
    <xf numFmtId="165" fontId="4" fillId="2" borderId="17" xfId="0" applyNumberFormat="1" applyFont="1" applyFill="1" applyBorder="1" applyAlignment="1">
      <alignment horizontal="center"/>
    </xf>
    <xf numFmtId="165" fontId="4" fillId="2" borderId="18" xfId="0" applyNumberFormat="1" applyFont="1" applyFill="1" applyBorder="1" applyAlignment="1">
      <alignment horizontal="center"/>
    </xf>
    <xf numFmtId="0" fontId="12" fillId="0" borderId="0" xfId="0" applyFont="1" applyAlignment="1">
      <alignment horizontal="left"/>
    </xf>
    <xf numFmtId="0" fontId="9" fillId="0" borderId="0" xfId="0" applyFont="1"/>
    <xf numFmtId="0" fontId="2" fillId="0" borderId="0" xfId="0" applyFont="1"/>
    <xf numFmtId="0" fontId="14" fillId="0" borderId="20" xfId="0" applyFont="1" applyBorder="1"/>
    <xf numFmtId="0" fontId="15" fillId="0" borderId="20" xfId="0" applyFont="1" applyBorder="1" applyAlignment="1">
      <alignment wrapText="1"/>
    </xf>
    <xf numFmtId="164" fontId="2" fillId="0" borderId="20" xfId="2" applyNumberFormat="1" applyFont="1" applyFill="1" applyBorder="1"/>
    <xf numFmtId="164" fontId="2" fillId="0" borderId="0" xfId="0" applyNumberFormat="1" applyFont="1"/>
    <xf numFmtId="0" fontId="16" fillId="0" borderId="0" xfId="0" applyFont="1"/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10" fontId="3" fillId="0" borderId="25" xfId="0" applyNumberFormat="1" applyFont="1" applyBorder="1" applyAlignment="1">
      <alignment horizontal="center" vertical="center"/>
    </xf>
    <xf numFmtId="9" fontId="17" fillId="0" borderId="25" xfId="0" applyNumberFormat="1" applyFont="1" applyBorder="1" applyAlignment="1">
      <alignment horizontal="right" vertical="center"/>
    </xf>
    <xf numFmtId="0" fontId="17" fillId="0" borderId="25" xfId="0" applyFont="1" applyBorder="1" applyAlignment="1">
      <alignment horizontal="center" vertical="center"/>
    </xf>
    <xf numFmtId="10" fontId="17" fillId="0" borderId="25" xfId="0" applyNumberFormat="1" applyFont="1" applyBorder="1" applyAlignment="1">
      <alignment horizontal="center" vertical="center"/>
    </xf>
    <xf numFmtId="0" fontId="19" fillId="3" borderId="0" xfId="0" applyFont="1" applyFill="1" applyAlignment="1">
      <alignment horizontal="justify" vertical="center" wrapText="1"/>
    </xf>
    <xf numFmtId="0" fontId="22" fillId="3" borderId="28" xfId="0" applyFont="1" applyFill="1" applyBorder="1" applyAlignment="1">
      <alignment horizontal="justify" vertical="center" wrapText="1"/>
    </xf>
    <xf numFmtId="0" fontId="21" fillId="3" borderId="28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horizontal="justify" vertical="center" wrapText="1"/>
    </xf>
    <xf numFmtId="3" fontId="21" fillId="3" borderId="0" xfId="0" applyNumberFormat="1" applyFont="1" applyFill="1" applyAlignment="1">
      <alignment horizontal="center" vertical="center" wrapText="1"/>
    </xf>
    <xf numFmtId="0" fontId="22" fillId="3" borderId="0" xfId="0" applyFont="1" applyFill="1" applyAlignment="1">
      <alignment horizontal="left" vertical="center" wrapText="1"/>
    </xf>
    <xf numFmtId="0" fontId="22" fillId="3" borderId="0" xfId="0" applyFont="1" applyFill="1" applyAlignment="1">
      <alignment horizontal="center" vertical="center" wrapText="1"/>
    </xf>
    <xf numFmtId="3" fontId="22" fillId="3" borderId="0" xfId="0" applyNumberFormat="1" applyFont="1" applyFill="1" applyAlignment="1">
      <alignment horizontal="center" vertical="center" wrapText="1"/>
    </xf>
    <xf numFmtId="0" fontId="22" fillId="3" borderId="28" xfId="0" applyFont="1" applyFill="1" applyBorder="1" applyAlignment="1">
      <alignment horizontal="left" vertical="center" wrapText="1"/>
    </xf>
    <xf numFmtId="0" fontId="22" fillId="3" borderId="28" xfId="0" applyFont="1" applyFill="1" applyBorder="1" applyAlignment="1">
      <alignment horizontal="center" vertical="center" wrapText="1"/>
    </xf>
    <xf numFmtId="0" fontId="19" fillId="0" borderId="0" xfId="0" applyFont="1"/>
    <xf numFmtId="0" fontId="23" fillId="0" borderId="0" xfId="0" applyFont="1"/>
    <xf numFmtId="0" fontId="19" fillId="0" borderId="0" xfId="0" applyFont="1" applyAlignment="1">
      <alignment horizontal="right" wrapText="1"/>
    </xf>
    <xf numFmtId="2" fontId="19" fillId="0" borderId="0" xfId="0" applyNumberFormat="1" applyFont="1"/>
    <xf numFmtId="165" fontId="19" fillId="0" borderId="0" xfId="0" applyNumberFormat="1" applyFont="1"/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6" fillId="2" borderId="2" xfId="0" applyFont="1" applyFill="1" applyBorder="1"/>
    <xf numFmtId="0" fontId="5" fillId="2" borderId="3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13" fillId="2" borderId="16" xfId="0" applyFont="1" applyFill="1" applyBorder="1" applyAlignment="1">
      <alignment horizontal="center"/>
    </xf>
    <xf numFmtId="0" fontId="13" fillId="2" borderId="13" xfId="0" applyFont="1" applyFill="1" applyBorder="1" applyAlignment="1">
      <alignment horizontal="center"/>
    </xf>
    <xf numFmtId="0" fontId="18" fillId="0" borderId="27" xfId="0" applyFont="1" applyBorder="1" applyAlignment="1">
      <alignment horizontal="justify" vertical="center"/>
    </xf>
    <xf numFmtId="0" fontId="9" fillId="0" borderId="28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</cellXfs>
  <cellStyles count="4">
    <cellStyle name="Normal" xfId="0" builtinId="0"/>
    <cellStyle name="Normal 2" xfId="3" xr:uid="{3A09B98F-4DC1-3B46-A523-1E457CA8AABA}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2" Type="http://schemas.openxmlformats.org/officeDocument/2006/relationships/chartsheet" Target="chartsheets/sheet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chartsheet" Target="chartsheets/sheet2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7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050" b="1"/>
              <a:t>COMPOSIÇÃO PERCENTUAL DA POPULAÇÃO JOVEM E IDOSA POR SEXO E RAÇA/COR</a:t>
            </a:r>
          </a:p>
          <a:p>
            <a:pPr>
              <a:defRPr/>
            </a:pPr>
            <a:r>
              <a:rPr lang="pt-BR" sz="1050" b="1"/>
              <a:t>BRASIL,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5661723940468503E-2"/>
          <c:y val="0.19427638037212536"/>
          <c:w val="0.93328894188974953"/>
          <c:h val="0.74979746171964179"/>
        </c:manualLayout>
      </c:layout>
      <c:barChart>
        <c:barDir val="col"/>
        <c:grouping val="percentStacked"/>
        <c:varyColors val="0"/>
        <c:ser>
          <c:idx val="0"/>
          <c:order val="0"/>
          <c:tx>
            <c:v>Homem Negro</c:v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Juventude</c:v>
              </c:pt>
              <c:pt idx="1">
                <c:v>Velhice</c:v>
              </c:pt>
            </c:strLit>
          </c:cat>
          <c:val>
            <c:numLit>
              <c:formatCode>General</c:formatCode>
              <c:ptCount val="2"/>
              <c:pt idx="0">
                <c:v>0.29999942210882874</c:v>
              </c:pt>
              <c:pt idx="1">
                <c:v>0.21563939731072326</c:v>
              </c:pt>
            </c:numLit>
          </c:val>
          <c:extLst>
            <c:ext xmlns:c16="http://schemas.microsoft.com/office/drawing/2014/chart" uri="{C3380CC4-5D6E-409C-BE32-E72D297353CC}">
              <c16:uniqueId val="{00000000-D4B1-44E5-AB6E-4448DED33F5E}"/>
            </c:ext>
          </c:extLst>
        </c:ser>
        <c:ser>
          <c:idx val="1"/>
          <c:order val="1"/>
          <c:tx>
            <c:v>Mulher Negra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Juventude</c:v>
              </c:pt>
              <c:pt idx="1">
                <c:v>Velhice</c:v>
              </c:pt>
            </c:strLit>
          </c:cat>
          <c:val>
            <c:numLit>
              <c:formatCode>General</c:formatCode>
              <c:ptCount val="2"/>
              <c:pt idx="0">
                <c:v>0.28015574386517317</c:v>
              </c:pt>
              <c:pt idx="1">
                <c:v>0.26288600070579848</c:v>
              </c:pt>
            </c:numLit>
          </c:val>
          <c:extLst>
            <c:ext xmlns:c16="http://schemas.microsoft.com/office/drawing/2014/chart" uri="{C3380CC4-5D6E-409C-BE32-E72D297353CC}">
              <c16:uniqueId val="{00000001-D4B1-44E5-AB6E-4448DED33F5E}"/>
            </c:ext>
          </c:extLst>
        </c:ser>
        <c:ser>
          <c:idx val="2"/>
          <c:order val="2"/>
          <c:tx>
            <c:v>Homem Não Negro</c:v>
          </c:tx>
          <c:spPr>
            <a:pattFill prst="narHorz">
              <a:fgClr>
                <a:srgbClr val="00206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Juventude</c:v>
              </c:pt>
              <c:pt idx="1">
                <c:v>Velhice</c:v>
              </c:pt>
            </c:strLit>
          </c:cat>
          <c:val>
            <c:numLit>
              <c:formatCode>General</c:formatCode>
              <c:ptCount val="2"/>
              <c:pt idx="0">
                <c:v>0.21203429103799057</c:v>
              </c:pt>
              <c:pt idx="1">
                <c:v>0.22499392822534106</c:v>
              </c:pt>
            </c:numLit>
          </c:val>
          <c:extLst>
            <c:ext xmlns:c16="http://schemas.microsoft.com/office/drawing/2014/chart" uri="{C3380CC4-5D6E-409C-BE32-E72D297353CC}">
              <c16:uniqueId val="{00000002-D4B1-44E5-AB6E-4448DED33F5E}"/>
            </c:ext>
          </c:extLst>
        </c:ser>
        <c:ser>
          <c:idx val="3"/>
          <c:order val="3"/>
          <c:tx>
            <c:v>Mulher Não Negra</c:v>
          </c:tx>
          <c:spPr>
            <a:pattFill prst="narHorz">
              <a:fgClr>
                <a:srgbClr val="FF000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Juventude</c:v>
              </c:pt>
              <c:pt idx="1">
                <c:v>Velhice</c:v>
              </c:pt>
            </c:strLit>
          </c:cat>
          <c:val>
            <c:numLit>
              <c:formatCode>General</c:formatCode>
              <c:ptCount val="2"/>
              <c:pt idx="0">
                <c:v>0.21036240798911868</c:v>
              </c:pt>
              <c:pt idx="1">
                <c:v>0.29642510393794602</c:v>
              </c:pt>
            </c:numLit>
          </c:val>
          <c:extLst>
            <c:ext xmlns:c16="http://schemas.microsoft.com/office/drawing/2014/chart" uri="{C3380CC4-5D6E-409C-BE32-E72D297353CC}">
              <c16:uniqueId val="{00000003-D4B1-44E5-AB6E-4448DED33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064847"/>
        <c:axId val="190074927"/>
      </c:barChart>
      <c:catAx>
        <c:axId val="190064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Fonte: IBGE, Censo Demográfico de 2022</a:t>
                </a:r>
              </a:p>
            </c:rich>
          </c:tx>
          <c:layout>
            <c:manualLayout>
              <c:xMode val="edge"/>
              <c:yMode val="edge"/>
              <c:x val="6.5274949104595227E-4"/>
              <c:y val="0.957533065519497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074927"/>
        <c:crosses val="autoZero"/>
        <c:auto val="1"/>
        <c:lblAlgn val="ctr"/>
        <c:lblOffset val="100"/>
        <c:noMultiLvlLbl val="0"/>
      </c:catAx>
      <c:valAx>
        <c:axId val="19007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064847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582225619967028"/>
          <c:y val="0.92893278007802549"/>
          <c:w val="0.50200847590502062"/>
          <c:h val="3.94271638435044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BD-B043-9CBD-92FE6DC7D7FD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BD-B043-9CBD-92FE6DC7D7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10.2'!$A$6:$A$33</c:f>
              <c:strCache>
                <c:ptCount val="28"/>
                <c:pt idx="0">
                  <c:v>Santa Catarina</c:v>
                </c:pt>
                <c:pt idx="1">
                  <c:v>Rio Grande do Sul</c:v>
                </c:pt>
                <c:pt idx="2">
                  <c:v>São Paulo</c:v>
                </c:pt>
                <c:pt idx="3">
                  <c:v>Espírito Santo</c:v>
                </c:pt>
                <c:pt idx="4">
                  <c:v>Paraná</c:v>
                </c:pt>
                <c:pt idx="5">
                  <c:v>Mato Grosso</c:v>
                </c:pt>
                <c:pt idx="6">
                  <c:v>Rio de Janeiro</c:v>
                </c:pt>
                <c:pt idx="7">
                  <c:v>Brasil</c:v>
                </c:pt>
                <c:pt idx="8">
                  <c:v>Mato Grosso do Sul</c:v>
                </c:pt>
                <c:pt idx="9">
                  <c:v>Distrito Federal</c:v>
                </c:pt>
                <c:pt idx="10">
                  <c:v>Rondônia</c:v>
                </c:pt>
                <c:pt idx="11">
                  <c:v>Goiás</c:v>
                </c:pt>
                <c:pt idx="12">
                  <c:v>Minas Gerais</c:v>
                </c:pt>
                <c:pt idx="13">
                  <c:v>Ceará</c:v>
                </c:pt>
                <c:pt idx="14">
                  <c:v>Maranhão</c:v>
                </c:pt>
                <c:pt idx="15">
                  <c:v>Paraíba</c:v>
                </c:pt>
                <c:pt idx="16">
                  <c:v>Bahia</c:v>
                </c:pt>
                <c:pt idx="17">
                  <c:v>Tocantins</c:v>
                </c:pt>
                <c:pt idx="18">
                  <c:v>Pernambuco</c:v>
                </c:pt>
                <c:pt idx="19">
                  <c:v>Amazonas</c:v>
                </c:pt>
                <c:pt idx="20">
                  <c:v>Sergipe</c:v>
                </c:pt>
                <c:pt idx="21">
                  <c:v>Roraima</c:v>
                </c:pt>
                <c:pt idx="22">
                  <c:v>Pará</c:v>
                </c:pt>
                <c:pt idx="23">
                  <c:v>Acre</c:v>
                </c:pt>
                <c:pt idx="24">
                  <c:v>Alagoas</c:v>
                </c:pt>
                <c:pt idx="25">
                  <c:v>Rio Grande do Norte</c:v>
                </c:pt>
                <c:pt idx="26">
                  <c:v>Piauí</c:v>
                </c:pt>
                <c:pt idx="27">
                  <c:v>Amapá</c:v>
                </c:pt>
              </c:strCache>
            </c:strRef>
          </c:cat>
          <c:val>
            <c:numRef>
              <c:f>'Gráfico 10.2'!$B$6:$B$33</c:f>
              <c:numCache>
                <c:formatCode>0.00</c:formatCode>
                <c:ptCount val="28"/>
                <c:pt idx="0">
                  <c:v>0.71195434807511082</c:v>
                </c:pt>
                <c:pt idx="1">
                  <c:v>0.7520958780714021</c:v>
                </c:pt>
                <c:pt idx="2">
                  <c:v>0.80736176530064319</c:v>
                </c:pt>
                <c:pt idx="3">
                  <c:v>0.82283257097311946</c:v>
                </c:pt>
                <c:pt idx="4">
                  <c:v>0.83679324048907266</c:v>
                </c:pt>
                <c:pt idx="5">
                  <c:v>0.84100735027285978</c:v>
                </c:pt>
                <c:pt idx="6">
                  <c:v>0.85520291664339787</c:v>
                </c:pt>
                <c:pt idx="7">
                  <c:v>0.85945112511440314</c:v>
                </c:pt>
                <c:pt idx="8">
                  <c:v>0.86350487190687109</c:v>
                </c:pt>
                <c:pt idx="9">
                  <c:v>0.86355129143087239</c:v>
                </c:pt>
                <c:pt idx="10">
                  <c:v>0.88381751777842732</c:v>
                </c:pt>
                <c:pt idx="11">
                  <c:v>0.8962798442208797</c:v>
                </c:pt>
                <c:pt idx="12">
                  <c:v>0.89705396612232535</c:v>
                </c:pt>
                <c:pt idx="13">
                  <c:v>0.92008927421406606</c:v>
                </c:pt>
                <c:pt idx="14">
                  <c:v>0.92773265640210667</c:v>
                </c:pt>
                <c:pt idx="15">
                  <c:v>0.93819517909414896</c:v>
                </c:pt>
                <c:pt idx="16">
                  <c:v>0.94344687223466417</c:v>
                </c:pt>
                <c:pt idx="17">
                  <c:v>0.94983677216093554</c:v>
                </c:pt>
                <c:pt idx="18">
                  <c:v>0.95872335722861202</c:v>
                </c:pt>
                <c:pt idx="19">
                  <c:v>0.96205620690059757</c:v>
                </c:pt>
                <c:pt idx="20">
                  <c:v>0.96778080259556454</c:v>
                </c:pt>
                <c:pt idx="21">
                  <c:v>0.97371134295844564</c:v>
                </c:pt>
                <c:pt idx="22">
                  <c:v>0.9849580274187858</c:v>
                </c:pt>
                <c:pt idx="23">
                  <c:v>0.98568473899864284</c:v>
                </c:pt>
                <c:pt idx="24">
                  <c:v>0.99629982911550963</c:v>
                </c:pt>
                <c:pt idx="25">
                  <c:v>1.0081056476270893</c:v>
                </c:pt>
                <c:pt idx="26">
                  <c:v>1.0181312224359274</c:v>
                </c:pt>
                <c:pt idx="27">
                  <c:v>1.042866161087465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BD-B043-9CBD-92FE6DC7D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2888128"/>
        <c:axId val="1952891392"/>
      </c:barChart>
      <c:catAx>
        <c:axId val="1952888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2891392"/>
        <c:crosses val="autoZero"/>
        <c:auto val="1"/>
        <c:lblAlgn val="ctr"/>
        <c:lblOffset val="100"/>
        <c:noMultiLvlLbl val="0"/>
      </c:catAx>
      <c:valAx>
        <c:axId val="1952891392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288812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1000" b="1">
                <a:effectLst/>
              </a:rPr>
              <a:t>Brasil: Idade média ao morrer por Sexo e Raça/cor (2019-2023)</a:t>
            </a:r>
            <a:endParaRPr lang="pt-BR" sz="1000">
              <a:effectLst/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1480770936007541E-2"/>
          <c:y val="6.1206029666394733E-2"/>
          <c:w val="0.95404781182226739"/>
          <c:h val="0.84172250352769751"/>
        </c:manualLayout>
      </c:layout>
      <c:barChart>
        <c:barDir val="col"/>
        <c:grouping val="clustered"/>
        <c:varyColors val="0"/>
        <c:ser>
          <c:idx val="0"/>
          <c:order val="0"/>
          <c:tx>
            <c:v>Homens Negros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5"/>
              <c:pt idx="0">
                <c:v>2019</c:v>
              </c:pt>
              <c:pt idx="1">
                <c:v>2020</c:v>
              </c:pt>
              <c:pt idx="2">
                <c:v>2021</c:v>
              </c:pt>
              <c:pt idx="3">
                <c:v>2022</c:v>
              </c:pt>
              <c:pt idx="4">
                <c:v>2023</c:v>
              </c:pt>
            </c:numLit>
          </c:cat>
          <c:val>
            <c:numLit>
              <c:formatCode>General</c:formatCode>
              <c:ptCount val="5"/>
              <c:pt idx="0">
                <c:v>57.752447340922842</c:v>
              </c:pt>
              <c:pt idx="1">
                <c:v>59.08708890206632</c:v>
              </c:pt>
              <c:pt idx="2">
                <c:v>59.025962120806362</c:v>
              </c:pt>
              <c:pt idx="3">
                <c:v>59.204883273060837</c:v>
              </c:pt>
              <c:pt idx="4">
                <c:v>59.204883273060837</c:v>
              </c:pt>
            </c:numLit>
          </c:val>
          <c:extLst>
            <c:ext xmlns:c16="http://schemas.microsoft.com/office/drawing/2014/chart" uri="{C3380CC4-5D6E-409C-BE32-E72D297353CC}">
              <c16:uniqueId val="{00000000-63E3-4EC5-8230-15FAF8C1C68E}"/>
            </c:ext>
          </c:extLst>
        </c:ser>
        <c:ser>
          <c:idx val="1"/>
          <c:order val="1"/>
          <c:tx>
            <c:v>Homens Não Negros</c:v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5"/>
              <c:pt idx="0">
                <c:v>2019</c:v>
              </c:pt>
              <c:pt idx="1">
                <c:v>2020</c:v>
              </c:pt>
              <c:pt idx="2">
                <c:v>2021</c:v>
              </c:pt>
              <c:pt idx="3">
                <c:v>2022</c:v>
              </c:pt>
              <c:pt idx="4">
                <c:v>2023</c:v>
              </c:pt>
            </c:numLit>
          </c:cat>
          <c:val>
            <c:numLit>
              <c:formatCode>General</c:formatCode>
              <c:ptCount val="5"/>
              <c:pt idx="0">
                <c:v>65.39305195558822</c:v>
              </c:pt>
              <c:pt idx="1">
                <c:v>66.099148297323424</c:v>
              </c:pt>
              <c:pt idx="2">
                <c:v>65.405007247122938</c:v>
              </c:pt>
              <c:pt idx="3">
                <c:v>66.556806185486394</c:v>
              </c:pt>
              <c:pt idx="4">
                <c:v>66.239003085119109</c:v>
              </c:pt>
            </c:numLit>
          </c:val>
          <c:extLst>
            <c:ext xmlns:c16="http://schemas.microsoft.com/office/drawing/2014/chart" uri="{C3380CC4-5D6E-409C-BE32-E72D297353CC}">
              <c16:uniqueId val="{00000001-63E3-4EC5-8230-15FAF8C1C68E}"/>
            </c:ext>
          </c:extLst>
        </c:ser>
        <c:ser>
          <c:idx val="2"/>
          <c:order val="2"/>
          <c:tx>
            <c:v>Mulheres Negras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5"/>
              <c:pt idx="0">
                <c:v>2019</c:v>
              </c:pt>
              <c:pt idx="1">
                <c:v>2020</c:v>
              </c:pt>
              <c:pt idx="2">
                <c:v>2021</c:v>
              </c:pt>
              <c:pt idx="3">
                <c:v>2022</c:v>
              </c:pt>
              <c:pt idx="4">
                <c:v>2023</c:v>
              </c:pt>
            </c:numLit>
          </c:cat>
          <c:val>
            <c:numLit>
              <c:formatCode>General</c:formatCode>
              <c:ptCount val="5"/>
              <c:pt idx="0">
                <c:v>65.022864250826288</c:v>
              </c:pt>
              <c:pt idx="1">
                <c:v>65.547736711523427</c:v>
              </c:pt>
              <c:pt idx="2">
                <c:v>65.013172144235341</c:v>
              </c:pt>
              <c:pt idx="3">
                <c:v>66.001810572657291</c:v>
              </c:pt>
              <c:pt idx="4">
                <c:v>66.001810572657291</c:v>
              </c:pt>
            </c:numLit>
          </c:val>
          <c:extLst>
            <c:ext xmlns:c16="http://schemas.microsoft.com/office/drawing/2014/chart" uri="{C3380CC4-5D6E-409C-BE32-E72D297353CC}">
              <c16:uniqueId val="{00000002-63E3-4EC5-8230-15FAF8C1C68E}"/>
            </c:ext>
          </c:extLst>
        </c:ser>
        <c:ser>
          <c:idx val="3"/>
          <c:order val="3"/>
          <c:tx>
            <c:v>Mulheres Não Negras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5"/>
              <c:pt idx="0">
                <c:v>2019</c:v>
              </c:pt>
              <c:pt idx="1">
                <c:v>2020</c:v>
              </c:pt>
              <c:pt idx="2">
                <c:v>2021</c:v>
              </c:pt>
              <c:pt idx="3">
                <c:v>2022</c:v>
              </c:pt>
              <c:pt idx="4">
                <c:v>2023</c:v>
              </c:pt>
            </c:numLit>
          </c:cat>
          <c:val>
            <c:numLit>
              <c:formatCode>General</c:formatCode>
              <c:ptCount val="5"/>
              <c:pt idx="0">
                <c:v>70.66910698386323</c:v>
              </c:pt>
              <c:pt idx="1">
                <c:v>70.877624908500664</c:v>
              </c:pt>
              <c:pt idx="2">
                <c:v>69.891580806206107</c:v>
              </c:pt>
              <c:pt idx="3">
                <c:v>71.602302932030668</c:v>
              </c:pt>
              <c:pt idx="4">
                <c:v>71.394750599709738</c:v>
              </c:pt>
            </c:numLit>
          </c:val>
          <c:extLst>
            <c:ext xmlns:c16="http://schemas.microsoft.com/office/drawing/2014/chart" uri="{C3380CC4-5D6E-409C-BE32-E72D297353CC}">
              <c16:uniqueId val="{00000003-63E3-4EC5-8230-15FAF8C1C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3164352"/>
        <c:axId val="1163166272"/>
      </c:barChart>
      <c:catAx>
        <c:axId val="1163164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Fonte: MS/DataSUS/SIM.</a:t>
                </a:r>
              </a:p>
            </c:rich>
          </c:tx>
          <c:layout>
            <c:manualLayout>
              <c:xMode val="edge"/>
              <c:yMode val="edge"/>
              <c:x val="4.2941884777270472E-3"/>
              <c:y val="0.95805251487316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3166272"/>
        <c:crosses val="autoZero"/>
        <c:auto val="1"/>
        <c:lblAlgn val="ctr"/>
        <c:lblOffset val="100"/>
        <c:noMultiLvlLbl val="0"/>
      </c:catAx>
      <c:valAx>
        <c:axId val="116316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316435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3D5A13-A9CA-47C6-ACE3-03D045884327}">
  <sheetPr/>
  <sheetViews>
    <sheetView zoomScale="126" workbookViewId="0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FA35D4F-BEA8-4D40-BFAA-534433C2E372}">
  <sheetPr/>
  <sheetViews>
    <sheetView zoomScale="126" workbookViewId="0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53512" cy="601738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1786D89-738E-0D9A-EE7E-2E5FA03FA62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88900</xdr:colOff>
      <xdr:row>4</xdr:row>
      <xdr:rowOff>165100</xdr:rowOff>
    </xdr:from>
    <xdr:to>
      <xdr:col>15</xdr:col>
      <xdr:colOff>612775</xdr:colOff>
      <xdr:row>29</xdr:row>
      <xdr:rowOff>7938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156B8A-D8B3-CF4E-A7B7-0C2F8D85D1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653512" cy="601738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263932C-DC4C-7B8E-EE34-1F844F31F0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D4C-4928-4AE6-9777-FF5EDF522CAA}">
  <dimension ref="A4:C8"/>
  <sheetViews>
    <sheetView tabSelected="1" workbookViewId="0">
      <selection activeCell="D5" sqref="D5:D9"/>
    </sheetView>
  </sheetViews>
  <sheetFormatPr defaultRowHeight="14.25"/>
  <cols>
    <col min="1" max="1" width="13.625" customWidth="1"/>
  </cols>
  <sheetData>
    <row r="4" spans="1:3">
      <c r="B4" t="s">
        <v>96</v>
      </c>
      <c r="C4" t="s">
        <v>97</v>
      </c>
    </row>
    <row r="5" spans="1:3">
      <c r="A5" t="s">
        <v>98</v>
      </c>
      <c r="B5">
        <v>0.29999942210882874</v>
      </c>
      <c r="C5">
        <v>0.21563939731072326</v>
      </c>
    </row>
    <row r="6" spans="1:3">
      <c r="A6" t="s">
        <v>99</v>
      </c>
      <c r="B6">
        <v>0.28015574386517317</v>
      </c>
      <c r="C6">
        <v>0.26288600070579848</v>
      </c>
    </row>
    <row r="7" spans="1:3">
      <c r="A7" t="s">
        <v>100</v>
      </c>
      <c r="B7">
        <v>0.21203429103799057</v>
      </c>
      <c r="C7">
        <v>0.22499392822534106</v>
      </c>
    </row>
    <row r="8" spans="1:3">
      <c r="A8" t="s">
        <v>101</v>
      </c>
      <c r="B8">
        <v>0.21036240798911868</v>
      </c>
      <c r="C8">
        <v>0.29642510393794602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F3FB7-FD13-A540-A711-C3B1B082226F}">
  <dimension ref="A3:K34"/>
  <sheetViews>
    <sheetView topLeftCell="A4" workbookViewId="0">
      <selection activeCell="S17" sqref="S17"/>
    </sheetView>
  </sheetViews>
  <sheetFormatPr defaultColWidth="11.375" defaultRowHeight="14.25"/>
  <sheetData>
    <row r="3" spans="1:11">
      <c r="A3" s="91"/>
      <c r="B3" s="91"/>
      <c r="C3" s="91"/>
      <c r="D3" s="91"/>
      <c r="E3" s="91"/>
      <c r="F3" s="92" t="s">
        <v>93</v>
      </c>
      <c r="G3" s="91"/>
      <c r="H3" s="91"/>
      <c r="I3" s="91"/>
      <c r="J3" s="91"/>
      <c r="K3" s="91"/>
    </row>
    <row r="4" spans="1:11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</row>
    <row r="5" spans="1:11" ht="33.75">
      <c r="A5" s="91"/>
      <c r="B5" s="93" t="s">
        <v>94</v>
      </c>
      <c r="C5" s="93"/>
      <c r="D5" s="91"/>
      <c r="E5" s="91"/>
      <c r="F5" s="91"/>
      <c r="G5" s="91"/>
      <c r="H5" s="91"/>
      <c r="I5" s="91"/>
      <c r="J5" s="91"/>
      <c r="K5" s="91"/>
    </row>
    <row r="6" spans="1:11">
      <c r="A6" s="91" t="s">
        <v>46</v>
      </c>
      <c r="B6" s="94">
        <v>0.71195434807511082</v>
      </c>
      <c r="C6" s="95"/>
      <c r="D6" s="91"/>
      <c r="E6" s="91"/>
      <c r="F6" s="91"/>
      <c r="G6" s="91"/>
      <c r="H6" s="91"/>
      <c r="I6" s="91"/>
      <c r="J6" s="91"/>
      <c r="K6" s="91"/>
    </row>
    <row r="7" spans="1:11">
      <c r="A7" s="91" t="s">
        <v>43</v>
      </c>
      <c r="B7" s="94">
        <v>0.7520958780714021</v>
      </c>
      <c r="C7" s="95"/>
      <c r="D7" s="91"/>
      <c r="E7" s="91"/>
      <c r="F7" s="91"/>
      <c r="G7" s="91"/>
      <c r="H7" s="91"/>
      <c r="I7" s="91"/>
      <c r="J7" s="91"/>
      <c r="K7" s="91"/>
    </row>
    <row r="8" spans="1:11">
      <c r="A8" s="91" t="s">
        <v>47</v>
      </c>
      <c r="B8" s="94">
        <v>0.80736176530064319</v>
      </c>
      <c r="C8" s="95"/>
      <c r="D8" s="91"/>
      <c r="E8" s="91"/>
      <c r="F8" s="91"/>
      <c r="G8" s="91"/>
      <c r="H8" s="91"/>
      <c r="I8" s="91"/>
      <c r="J8" s="91"/>
      <c r="K8" s="91"/>
    </row>
    <row r="9" spans="1:11">
      <c r="A9" s="91" t="s">
        <v>30</v>
      </c>
      <c r="B9" s="94">
        <v>0.82283257097311946</v>
      </c>
      <c r="C9" s="95"/>
      <c r="D9" s="91"/>
      <c r="E9" s="91"/>
      <c r="F9" s="91"/>
      <c r="G9" s="91"/>
      <c r="H9" s="91"/>
      <c r="I9" s="91"/>
      <c r="J9" s="91"/>
      <c r="K9" s="91"/>
    </row>
    <row r="10" spans="1:11">
      <c r="A10" s="91" t="s">
        <v>38</v>
      </c>
      <c r="B10" s="94">
        <v>0.83679324048907266</v>
      </c>
      <c r="C10" s="95"/>
      <c r="D10" s="91"/>
      <c r="E10" s="91"/>
      <c r="F10" s="91"/>
      <c r="G10" s="91"/>
      <c r="H10" s="91"/>
      <c r="I10" s="91"/>
      <c r="J10" s="91"/>
      <c r="K10" s="91"/>
    </row>
    <row r="11" spans="1:11">
      <c r="A11" s="91" t="s">
        <v>33</v>
      </c>
      <c r="B11" s="94">
        <v>0.84100735027285978</v>
      </c>
      <c r="C11" s="95"/>
      <c r="D11" s="91"/>
      <c r="E11" s="91"/>
      <c r="F11" s="91"/>
      <c r="G11" s="91"/>
      <c r="H11" s="91"/>
      <c r="I11" s="91"/>
      <c r="J11" s="91"/>
      <c r="K11" s="91"/>
    </row>
    <row r="12" spans="1:11">
      <c r="A12" s="91" t="s">
        <v>41</v>
      </c>
      <c r="B12" s="94">
        <v>0.85520291664339787</v>
      </c>
      <c r="C12" s="95"/>
      <c r="D12" s="91"/>
      <c r="E12" s="91"/>
      <c r="F12" s="91"/>
      <c r="G12" s="91"/>
      <c r="H12" s="91"/>
      <c r="I12" s="91"/>
      <c r="J12" s="91"/>
      <c r="K12" s="91"/>
    </row>
    <row r="13" spans="1:11">
      <c r="A13" s="91" t="s">
        <v>22</v>
      </c>
      <c r="B13" s="94">
        <v>0.85945112511440314</v>
      </c>
      <c r="C13" s="95"/>
      <c r="D13" s="91"/>
      <c r="E13" s="91"/>
      <c r="F13" s="91"/>
      <c r="G13" s="91"/>
      <c r="H13" s="91"/>
      <c r="I13" s="91"/>
      <c r="J13" s="91"/>
      <c r="K13" s="91"/>
    </row>
    <row r="14" spans="1:11">
      <c r="A14" s="91" t="s">
        <v>34</v>
      </c>
      <c r="B14" s="94">
        <v>0.86350487190687109</v>
      </c>
      <c r="C14" s="95"/>
      <c r="D14" s="91"/>
      <c r="E14" s="91"/>
      <c r="F14" s="91"/>
      <c r="G14" s="91"/>
      <c r="H14" s="91"/>
      <c r="I14" s="91"/>
      <c r="J14" s="91"/>
      <c r="K14" s="91"/>
    </row>
    <row r="15" spans="1:11">
      <c r="A15" s="91" t="s">
        <v>29</v>
      </c>
      <c r="B15" s="94">
        <v>0.86355129143087239</v>
      </c>
      <c r="C15" s="95"/>
      <c r="D15" s="91"/>
      <c r="E15" s="91"/>
      <c r="F15" s="91"/>
      <c r="G15" s="91"/>
      <c r="H15" s="91"/>
      <c r="I15" s="91"/>
      <c r="J15" s="91"/>
      <c r="K15" s="91"/>
    </row>
    <row r="16" spans="1:11">
      <c r="A16" s="91" t="s">
        <v>44</v>
      </c>
      <c r="B16" s="94">
        <v>0.88381751777842732</v>
      </c>
      <c r="C16" s="95"/>
      <c r="D16" s="91"/>
      <c r="E16" s="91"/>
      <c r="F16" s="91"/>
      <c r="G16" s="91"/>
      <c r="H16" s="91"/>
      <c r="I16" s="91"/>
      <c r="J16" s="91"/>
      <c r="K16" s="91"/>
    </row>
    <row r="17" spans="1:11">
      <c r="A17" s="91" t="s">
        <v>31</v>
      </c>
      <c r="B17" s="94">
        <v>0.8962798442208797</v>
      </c>
      <c r="C17" s="95"/>
      <c r="D17" s="91"/>
      <c r="E17" s="91"/>
      <c r="F17" s="91"/>
      <c r="G17" s="91"/>
      <c r="H17" s="91"/>
      <c r="I17" s="91"/>
      <c r="J17" s="91"/>
      <c r="K17" s="91"/>
    </row>
    <row r="18" spans="1:11">
      <c r="A18" s="91" t="s">
        <v>35</v>
      </c>
      <c r="B18" s="94">
        <v>0.89705396612232535</v>
      </c>
      <c r="C18" s="95"/>
      <c r="D18" s="91"/>
      <c r="E18" s="91"/>
      <c r="F18" s="91"/>
      <c r="G18" s="91"/>
      <c r="H18" s="91"/>
      <c r="I18" s="91"/>
      <c r="J18" s="91"/>
      <c r="K18" s="91"/>
    </row>
    <row r="19" spans="1:11">
      <c r="A19" s="91" t="s">
        <v>28</v>
      </c>
      <c r="B19" s="94">
        <v>0.92008927421406606</v>
      </c>
      <c r="C19" s="95"/>
      <c r="D19" s="91"/>
      <c r="E19" s="91"/>
      <c r="F19" s="91"/>
      <c r="G19" s="91"/>
      <c r="H19" s="91"/>
      <c r="I19" s="91"/>
      <c r="J19" s="91"/>
      <c r="K19" s="91"/>
    </row>
    <row r="20" spans="1:11">
      <c r="A20" s="91" t="s">
        <v>32</v>
      </c>
      <c r="B20" s="94">
        <v>0.92773265640210667</v>
      </c>
      <c r="C20" s="95"/>
      <c r="D20" s="91"/>
      <c r="E20" s="91"/>
      <c r="F20" s="91"/>
      <c r="G20" s="91"/>
      <c r="H20" s="91"/>
      <c r="I20" s="91"/>
      <c r="J20" s="91"/>
      <c r="K20" s="91"/>
    </row>
    <row r="21" spans="1:11">
      <c r="A21" s="91" t="s">
        <v>37</v>
      </c>
      <c r="B21" s="94">
        <v>0.93819517909414896</v>
      </c>
      <c r="C21" s="95"/>
      <c r="D21" s="91"/>
      <c r="E21" s="91"/>
      <c r="F21" s="91"/>
      <c r="G21" s="91"/>
      <c r="H21" s="91"/>
      <c r="I21" s="91"/>
      <c r="J21" s="91"/>
      <c r="K21" s="91"/>
    </row>
    <row r="22" spans="1:11">
      <c r="A22" s="91" t="s">
        <v>27</v>
      </c>
      <c r="B22" s="94">
        <v>0.94344687223466417</v>
      </c>
      <c r="C22" s="95"/>
      <c r="D22" s="91"/>
      <c r="E22" s="91"/>
      <c r="F22" s="91"/>
      <c r="G22" s="91"/>
      <c r="H22" s="91"/>
      <c r="I22" s="91"/>
      <c r="J22" s="91"/>
      <c r="K22" s="91"/>
    </row>
    <row r="23" spans="1:11">
      <c r="A23" s="91" t="s">
        <v>49</v>
      </c>
      <c r="B23" s="94">
        <v>0.94983677216093554</v>
      </c>
      <c r="C23" s="95"/>
      <c r="D23" s="91"/>
      <c r="E23" s="91"/>
      <c r="F23" s="91"/>
      <c r="G23" s="91"/>
      <c r="H23" s="91"/>
      <c r="I23" s="91"/>
      <c r="J23" s="91"/>
      <c r="K23" s="91"/>
    </row>
    <row r="24" spans="1:11">
      <c r="A24" s="91" t="s">
        <v>39</v>
      </c>
      <c r="B24" s="94">
        <v>0.95872335722861202</v>
      </c>
      <c r="C24" s="95"/>
      <c r="D24" s="91"/>
      <c r="E24" s="91"/>
      <c r="F24" s="91"/>
      <c r="G24" s="91"/>
      <c r="H24" s="91"/>
      <c r="I24" s="91"/>
      <c r="J24" s="91"/>
      <c r="K24" s="91"/>
    </row>
    <row r="25" spans="1:11">
      <c r="A25" s="91" t="s">
        <v>26</v>
      </c>
      <c r="B25" s="94">
        <v>0.96205620690059757</v>
      </c>
      <c r="C25" s="95"/>
      <c r="D25" s="91"/>
      <c r="E25" s="91"/>
      <c r="F25" s="91"/>
      <c r="G25" s="91"/>
      <c r="H25" s="91"/>
      <c r="I25" s="91"/>
      <c r="J25" s="91"/>
      <c r="K25" s="91"/>
    </row>
    <row r="26" spans="1:11">
      <c r="A26" s="91" t="s">
        <v>48</v>
      </c>
      <c r="B26" s="94">
        <v>0.96778080259556454</v>
      </c>
      <c r="C26" s="95"/>
      <c r="D26" s="91"/>
      <c r="E26" s="91"/>
      <c r="F26" s="91"/>
      <c r="G26" s="91"/>
      <c r="H26" s="91"/>
      <c r="I26" s="91"/>
      <c r="J26" s="91"/>
      <c r="K26" s="91"/>
    </row>
    <row r="27" spans="1:11">
      <c r="A27" s="91" t="s">
        <v>45</v>
      </c>
      <c r="B27" s="94">
        <v>0.97371134295844564</v>
      </c>
      <c r="C27" s="95"/>
      <c r="D27" s="91"/>
      <c r="E27" s="91"/>
      <c r="F27" s="91"/>
      <c r="G27" s="91"/>
      <c r="H27" s="91"/>
      <c r="I27" s="91"/>
      <c r="J27" s="91"/>
      <c r="K27" s="91"/>
    </row>
    <row r="28" spans="1:11">
      <c r="A28" s="91" t="s">
        <v>36</v>
      </c>
      <c r="B28" s="94">
        <v>0.9849580274187858</v>
      </c>
      <c r="C28" s="95"/>
      <c r="D28" s="91"/>
      <c r="E28" s="91"/>
      <c r="F28" s="91"/>
      <c r="G28" s="91"/>
      <c r="H28" s="91"/>
      <c r="I28" s="91"/>
      <c r="J28" s="91"/>
      <c r="K28" s="91"/>
    </row>
    <row r="29" spans="1:11">
      <c r="A29" s="91" t="s">
        <v>23</v>
      </c>
      <c r="B29" s="94">
        <v>0.98568473899864284</v>
      </c>
      <c r="C29" s="95"/>
      <c r="D29" s="91"/>
      <c r="E29" s="91"/>
      <c r="F29" s="91"/>
      <c r="G29" s="91"/>
      <c r="H29" s="91"/>
      <c r="I29" s="91"/>
      <c r="J29" s="91"/>
      <c r="K29" s="91"/>
    </row>
    <row r="30" spans="1:11">
      <c r="A30" s="91" t="s">
        <v>24</v>
      </c>
      <c r="B30" s="94">
        <v>0.99629982911550963</v>
      </c>
      <c r="C30" s="95"/>
      <c r="D30" s="91"/>
      <c r="E30" s="91"/>
      <c r="F30" s="91"/>
      <c r="G30" s="91"/>
      <c r="H30" s="91"/>
      <c r="I30" s="91"/>
      <c r="J30" s="91"/>
      <c r="K30" s="91"/>
    </row>
    <row r="31" spans="1:11">
      <c r="A31" s="91" t="s">
        <v>42</v>
      </c>
      <c r="B31" s="94">
        <v>1.0081056476270893</v>
      </c>
      <c r="C31" s="95"/>
      <c r="D31" s="91"/>
      <c r="E31" s="91"/>
      <c r="F31" s="91" t="s">
        <v>95</v>
      </c>
      <c r="G31" s="91"/>
      <c r="H31" s="91"/>
      <c r="I31" s="91"/>
      <c r="J31" s="91"/>
      <c r="K31" s="91"/>
    </row>
    <row r="32" spans="1:11">
      <c r="A32" s="91" t="s">
        <v>40</v>
      </c>
      <c r="B32" s="94">
        <v>1.0181312224359274</v>
      </c>
      <c r="C32" s="95"/>
      <c r="D32" s="91"/>
      <c r="E32" s="91"/>
      <c r="F32" s="91"/>
      <c r="G32" s="91"/>
      <c r="H32" s="91"/>
      <c r="I32" s="91"/>
      <c r="J32" s="91"/>
      <c r="K32" s="91"/>
    </row>
    <row r="33" spans="1:11">
      <c r="A33" s="91" t="s">
        <v>25</v>
      </c>
      <c r="B33" s="94">
        <v>1.042866161087465</v>
      </c>
      <c r="C33" s="95"/>
      <c r="D33" s="91"/>
      <c r="E33" s="91"/>
      <c r="F33" s="91"/>
      <c r="G33" s="91"/>
      <c r="H33" s="91"/>
      <c r="I33" s="91"/>
      <c r="J33" s="91"/>
      <c r="K33" s="91"/>
    </row>
    <row r="34" spans="1:11">
      <c r="A34" s="91" t="s">
        <v>95</v>
      </c>
      <c r="B34" s="91"/>
      <c r="C34" s="91"/>
      <c r="D34" s="91"/>
      <c r="E34" s="91"/>
      <c r="F34" s="91"/>
      <c r="G34" s="91"/>
      <c r="H34" s="91"/>
      <c r="I34" s="91"/>
      <c r="J34" s="91"/>
      <c r="K34" s="91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9EC2-00B1-4041-9D23-CE882539A494}">
  <dimension ref="A3:F7"/>
  <sheetViews>
    <sheetView workbookViewId="0">
      <selection activeCell="G27" sqref="G27"/>
    </sheetView>
  </sheetViews>
  <sheetFormatPr defaultRowHeight="14.25"/>
  <sheetData>
    <row r="3" spans="1:6">
      <c r="B3">
        <v>2019</v>
      </c>
      <c r="C3">
        <v>2020</v>
      </c>
      <c r="D3">
        <v>2021</v>
      </c>
      <c r="E3">
        <v>2022</v>
      </c>
      <c r="F3">
        <v>2023</v>
      </c>
    </row>
    <row r="4" spans="1:6">
      <c r="A4" t="s">
        <v>102</v>
      </c>
      <c r="B4">
        <v>57.752447340922842</v>
      </c>
      <c r="C4">
        <v>59.08708890206632</v>
      </c>
      <c r="D4">
        <v>59.025962120806362</v>
      </c>
      <c r="E4">
        <v>59.204883273060837</v>
      </c>
      <c r="F4">
        <v>59.204883273060837</v>
      </c>
    </row>
    <row r="5" spans="1:6">
      <c r="A5" t="s">
        <v>103</v>
      </c>
      <c r="B5">
        <v>65.39305195558822</v>
      </c>
      <c r="C5">
        <v>66.099148297323424</v>
      </c>
      <c r="D5">
        <v>65.405007247122938</v>
      </c>
      <c r="E5">
        <v>66.556806185486394</v>
      </c>
      <c r="F5">
        <v>66.239003085119109</v>
      </c>
    </row>
    <row r="6" spans="1:6">
      <c r="A6" t="s">
        <v>104</v>
      </c>
      <c r="B6">
        <v>65.022864250826288</v>
      </c>
      <c r="C6">
        <v>65.547736711523427</v>
      </c>
      <c r="D6">
        <v>65.013172144235341</v>
      </c>
      <c r="E6">
        <v>66.001810572657291</v>
      </c>
      <c r="F6">
        <v>66.001810572657291</v>
      </c>
    </row>
    <row r="7" spans="1:6">
      <c r="A7" t="s">
        <v>105</v>
      </c>
      <c r="B7">
        <v>70.66910698386323</v>
      </c>
      <c r="C7">
        <v>70.877624908500664</v>
      </c>
      <c r="D7">
        <v>69.891580806206107</v>
      </c>
      <c r="E7">
        <v>71.602302932030668</v>
      </c>
      <c r="F7">
        <v>71.394750599709738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2D58-487E-F846-B121-A958D834CA63}">
  <dimension ref="A1:P21"/>
  <sheetViews>
    <sheetView workbookViewId="0">
      <selection activeCell="F29" sqref="F29"/>
    </sheetView>
  </sheetViews>
  <sheetFormatPr defaultColWidth="11.375" defaultRowHeight="14.25"/>
  <sheetData>
    <row r="1" spans="1:16" ht="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6" ht="15.75">
      <c r="A2" s="96" t="s">
        <v>1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8"/>
      <c r="M2" s="99" t="s">
        <v>2</v>
      </c>
      <c r="N2" s="97"/>
      <c r="O2" s="97"/>
      <c r="P2" s="3"/>
    </row>
    <row r="3" spans="1:16" ht="15.75">
      <c r="A3" s="5"/>
      <c r="B3" s="6">
        <v>2013</v>
      </c>
      <c r="C3" s="6">
        <v>2014</v>
      </c>
      <c r="D3" s="6">
        <v>2015</v>
      </c>
      <c r="E3" s="6">
        <v>2016</v>
      </c>
      <c r="F3" s="6">
        <v>2017</v>
      </c>
      <c r="G3" s="6">
        <v>2018</v>
      </c>
      <c r="H3" s="6">
        <v>2019</v>
      </c>
      <c r="I3" s="6">
        <v>2020</v>
      </c>
      <c r="J3" s="7">
        <v>2021</v>
      </c>
      <c r="K3" s="7">
        <v>2022</v>
      </c>
      <c r="L3" s="8">
        <v>2023</v>
      </c>
      <c r="M3" s="9" t="s">
        <v>3</v>
      </c>
      <c r="N3" s="4" t="s">
        <v>4</v>
      </c>
      <c r="O3" s="4" t="s">
        <v>5</v>
      </c>
      <c r="P3" s="3"/>
    </row>
    <row r="4" spans="1:16" ht="15.75">
      <c r="A4" s="10" t="s">
        <v>6</v>
      </c>
      <c r="B4" s="11">
        <v>19.899999999999999</v>
      </c>
      <c r="C4" s="11">
        <v>21.8</v>
      </c>
      <c r="D4" s="11">
        <v>22.1</v>
      </c>
      <c r="E4" s="11">
        <v>23.4</v>
      </c>
      <c r="F4" s="11">
        <v>22.8</v>
      </c>
      <c r="G4" s="11">
        <v>19.5</v>
      </c>
      <c r="H4" s="11">
        <v>16.2</v>
      </c>
      <c r="I4" s="11">
        <v>16</v>
      </c>
      <c r="J4" s="12">
        <v>16.600000000000001</v>
      </c>
      <c r="K4" s="12">
        <v>15.2</v>
      </c>
      <c r="L4" s="12">
        <v>14.2</v>
      </c>
      <c r="M4" s="13">
        <f t="shared" ref="M4:M7" si="0">(L4-B4)/B4</f>
        <v>-0.28643216080402006</v>
      </c>
      <c r="N4" s="14">
        <f t="shared" ref="N4:N7" si="1">(L4-K4)/K4</f>
        <v>-6.5789473684210523E-2</v>
      </c>
      <c r="O4" s="14">
        <f t="shared" ref="O4:O7" si="2">(L4-G4)/G4</f>
        <v>-0.27179487179487183</v>
      </c>
      <c r="P4" s="15"/>
    </row>
    <row r="5" spans="1:16" ht="15.75">
      <c r="A5" s="10" t="s">
        <v>7</v>
      </c>
      <c r="B5" s="11">
        <v>13.9</v>
      </c>
      <c r="C5" s="11">
        <v>15</v>
      </c>
      <c r="D5" s="11">
        <v>14.5</v>
      </c>
      <c r="E5" s="11">
        <v>14.8</v>
      </c>
      <c r="F5" s="11">
        <v>13.6</v>
      </c>
      <c r="G5" s="11">
        <v>12.3</v>
      </c>
      <c r="H5" s="11">
        <v>9.8000000000000007</v>
      </c>
      <c r="I5" s="11">
        <v>9.9</v>
      </c>
      <c r="J5" s="12">
        <v>9.1</v>
      </c>
      <c r="K5" s="12">
        <v>8.5</v>
      </c>
      <c r="L5" s="12">
        <v>8.8000000000000007</v>
      </c>
      <c r="M5" s="13">
        <f t="shared" si="0"/>
        <v>-0.36690647482014382</v>
      </c>
      <c r="N5" s="14">
        <f t="shared" si="1"/>
        <v>3.5294117647058906E-2</v>
      </c>
      <c r="O5" s="14">
        <f t="shared" si="2"/>
        <v>-0.28455284552845528</v>
      </c>
      <c r="P5" s="3"/>
    </row>
    <row r="6" spans="1:16" ht="15.75">
      <c r="A6" s="10" t="s">
        <v>8</v>
      </c>
      <c r="B6" s="11">
        <v>2.8</v>
      </c>
      <c r="C6" s="11">
        <v>2.1</v>
      </c>
      <c r="D6" s="11">
        <v>2.8</v>
      </c>
      <c r="E6" s="11">
        <v>2.5</v>
      </c>
      <c r="F6" s="11">
        <v>2.5</v>
      </c>
      <c r="G6" s="11">
        <v>2.2000000000000002</v>
      </c>
      <c r="H6" s="11">
        <v>1.8</v>
      </c>
      <c r="I6" s="11">
        <v>1.7</v>
      </c>
      <c r="J6" s="12">
        <v>2.1</v>
      </c>
      <c r="K6" s="12">
        <v>1.6</v>
      </c>
      <c r="L6" s="12">
        <v>1.6</v>
      </c>
      <c r="M6" s="13">
        <f t="shared" si="0"/>
        <v>-0.42857142857142849</v>
      </c>
      <c r="N6" s="14">
        <f t="shared" si="1"/>
        <v>0</v>
      </c>
      <c r="O6" s="14">
        <f t="shared" si="2"/>
        <v>-0.27272727272727276</v>
      </c>
      <c r="P6" s="3"/>
    </row>
    <row r="7" spans="1:16" ht="15.75">
      <c r="A7" s="16" t="s">
        <v>9</v>
      </c>
      <c r="B7" s="11">
        <v>2.4</v>
      </c>
      <c r="C7" s="11">
        <v>2.2999999999999998</v>
      </c>
      <c r="D7" s="11">
        <v>2.2000000000000002</v>
      </c>
      <c r="E7" s="11">
        <v>2.2000000000000002</v>
      </c>
      <c r="F7" s="11">
        <v>2.1</v>
      </c>
      <c r="G7" s="11">
        <v>1.8</v>
      </c>
      <c r="H7" s="11">
        <v>1.6</v>
      </c>
      <c r="I7" s="11">
        <v>1.7</v>
      </c>
      <c r="J7" s="12">
        <v>1.8</v>
      </c>
      <c r="K7" s="12">
        <v>1.4</v>
      </c>
      <c r="L7" s="12">
        <v>1.5</v>
      </c>
      <c r="M7" s="13">
        <f t="shared" si="0"/>
        <v>-0.375</v>
      </c>
      <c r="N7" s="14">
        <f t="shared" si="1"/>
        <v>7.1428571428571494E-2</v>
      </c>
      <c r="O7" s="14">
        <f t="shared" si="2"/>
        <v>-0.16666666666666669</v>
      </c>
      <c r="P7" s="3"/>
    </row>
    <row r="8" spans="1:16" ht="15.75">
      <c r="A8" s="96" t="s">
        <v>10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8"/>
      <c r="M8" s="99" t="s">
        <v>2</v>
      </c>
      <c r="N8" s="97"/>
      <c r="O8" s="97"/>
      <c r="P8" s="3"/>
    </row>
    <row r="9" spans="1:16" ht="15.75">
      <c r="A9" s="5"/>
      <c r="B9" s="6">
        <v>2013</v>
      </c>
      <c r="C9" s="6">
        <v>2014</v>
      </c>
      <c r="D9" s="6">
        <v>2015</v>
      </c>
      <c r="E9" s="6">
        <v>2016</v>
      </c>
      <c r="F9" s="6">
        <v>2017</v>
      </c>
      <c r="G9" s="6">
        <v>2018</v>
      </c>
      <c r="H9" s="6">
        <v>2019</v>
      </c>
      <c r="I9" s="6">
        <v>2020</v>
      </c>
      <c r="J9" s="7">
        <v>2021</v>
      </c>
      <c r="K9" s="7">
        <v>2022</v>
      </c>
      <c r="L9" s="8">
        <v>2023</v>
      </c>
      <c r="M9" s="9" t="s">
        <v>3</v>
      </c>
      <c r="N9" s="4" t="s">
        <v>4</v>
      </c>
      <c r="O9" s="4" t="s">
        <v>5</v>
      </c>
      <c r="P9" s="3"/>
    </row>
    <row r="10" spans="1:16" ht="15.75">
      <c r="A10" s="10" t="s">
        <v>6</v>
      </c>
      <c r="B10" s="11">
        <v>27.5</v>
      </c>
      <c r="C10" s="11">
        <v>29.6</v>
      </c>
      <c r="D10" s="11">
        <v>29</v>
      </c>
      <c r="E10" s="11">
        <v>32.299999999999997</v>
      </c>
      <c r="F10" s="11">
        <v>35.5</v>
      </c>
      <c r="G10" s="11">
        <v>34.299999999999997</v>
      </c>
      <c r="H10" s="11">
        <v>33.5</v>
      </c>
      <c r="I10" s="11">
        <v>33.6</v>
      </c>
      <c r="J10" s="12">
        <v>37.5</v>
      </c>
      <c r="K10" s="12">
        <v>38.799999999999997</v>
      </c>
      <c r="L10" s="12">
        <v>39.700000000000003</v>
      </c>
      <c r="M10" s="13">
        <f t="shared" ref="M10:M13" si="3">(L10-B10)/B10</f>
        <v>0.44363636363636372</v>
      </c>
      <c r="N10" s="14">
        <f t="shared" ref="N10:N13" si="4">(L10-K10)/K10</f>
        <v>2.319587628865994E-2</v>
      </c>
      <c r="O10" s="14">
        <f t="shared" ref="O10:O13" si="5">(L10-G10)/G10</f>
        <v>0.15743440233236169</v>
      </c>
      <c r="P10" s="3"/>
    </row>
    <row r="11" spans="1:16" ht="15.75">
      <c r="A11" s="10" t="s">
        <v>7</v>
      </c>
      <c r="B11" s="11">
        <v>48.4</v>
      </c>
      <c r="C11" s="11">
        <v>49.9</v>
      </c>
      <c r="D11" s="11">
        <v>52.8</v>
      </c>
      <c r="E11" s="11">
        <v>56.2</v>
      </c>
      <c r="F11" s="11">
        <v>55.8</v>
      </c>
      <c r="G11" s="11">
        <v>58.3</v>
      </c>
      <c r="H11" s="11">
        <v>55.4</v>
      </c>
      <c r="I11" s="11">
        <v>52.5</v>
      </c>
      <c r="J11" s="12">
        <v>51.5</v>
      </c>
      <c r="K11" s="12">
        <v>57.2</v>
      </c>
      <c r="L11" s="12">
        <v>56.2</v>
      </c>
      <c r="M11" s="13">
        <f t="shared" si="3"/>
        <v>0.16115702479338853</v>
      </c>
      <c r="N11" s="14">
        <f t="shared" si="4"/>
        <v>-1.748251748251748E-2</v>
      </c>
      <c r="O11" s="14">
        <f t="shared" si="5"/>
        <v>-3.6020583190394417E-2</v>
      </c>
      <c r="P11" s="3"/>
    </row>
    <row r="12" spans="1:16" ht="15.75">
      <c r="A12" s="10" t="s">
        <v>8</v>
      </c>
      <c r="B12" s="11">
        <v>19.8</v>
      </c>
      <c r="C12" s="11">
        <v>22.9</v>
      </c>
      <c r="D12" s="11">
        <v>22.9</v>
      </c>
      <c r="E12" s="11">
        <v>24.4</v>
      </c>
      <c r="F12" s="11">
        <v>29.4</v>
      </c>
      <c r="G12" s="11">
        <v>26.9</v>
      </c>
      <c r="H12" s="11">
        <v>25.6</v>
      </c>
      <c r="I12" s="11">
        <v>23.6</v>
      </c>
      <c r="J12" s="12">
        <v>26.2</v>
      </c>
      <c r="K12" s="12">
        <v>27.5</v>
      </c>
      <c r="L12" s="12">
        <v>29.2</v>
      </c>
      <c r="M12" s="13">
        <f t="shared" si="3"/>
        <v>0.47474747474747464</v>
      </c>
      <c r="N12" s="14">
        <f t="shared" si="4"/>
        <v>6.1818181818181793E-2</v>
      </c>
      <c r="O12" s="14">
        <f t="shared" si="5"/>
        <v>8.5501858736059505E-2</v>
      </c>
      <c r="P12" s="3"/>
    </row>
    <row r="13" spans="1:16" ht="15.75">
      <c r="A13" s="16" t="s">
        <v>9</v>
      </c>
      <c r="B13" s="17">
        <v>44.4</v>
      </c>
      <c r="C13" s="17">
        <v>46.1</v>
      </c>
      <c r="D13" s="17">
        <v>48.1</v>
      </c>
      <c r="E13" s="17">
        <v>49.4</v>
      </c>
      <c r="F13" s="17">
        <v>51.4</v>
      </c>
      <c r="G13" s="17">
        <v>52.6</v>
      </c>
      <c r="H13" s="17">
        <v>50.8</v>
      </c>
      <c r="I13" s="17">
        <v>45.2</v>
      </c>
      <c r="J13" s="18">
        <v>46.6</v>
      </c>
      <c r="K13" s="18">
        <v>50.4</v>
      </c>
      <c r="L13" s="18">
        <v>50.6</v>
      </c>
      <c r="M13" s="19">
        <f t="shared" si="3"/>
        <v>0.13963963963963971</v>
      </c>
      <c r="N13" s="20">
        <f t="shared" si="4"/>
        <v>3.9682539682540244E-3</v>
      </c>
      <c r="O13" s="20">
        <f t="shared" si="5"/>
        <v>-3.8022813688212927E-2</v>
      </c>
      <c r="P13" s="3"/>
    </row>
    <row r="14" spans="1:16" ht="15.75">
      <c r="A14" s="96" t="s">
        <v>11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8"/>
      <c r="M14" s="99" t="s">
        <v>2</v>
      </c>
      <c r="N14" s="97"/>
      <c r="O14" s="97"/>
      <c r="P14" s="3"/>
    </row>
    <row r="15" spans="1:16" ht="15.75">
      <c r="A15" s="5"/>
      <c r="B15" s="6">
        <v>2013</v>
      </c>
      <c r="C15" s="6">
        <v>2014</v>
      </c>
      <c r="D15" s="6">
        <v>2015</v>
      </c>
      <c r="E15" s="6">
        <v>2016</v>
      </c>
      <c r="F15" s="6">
        <v>2017</v>
      </c>
      <c r="G15" s="6">
        <v>2018</v>
      </c>
      <c r="H15" s="6">
        <v>2019</v>
      </c>
      <c r="I15" s="6">
        <v>2020</v>
      </c>
      <c r="J15" s="7">
        <v>2021</v>
      </c>
      <c r="K15" s="7">
        <v>2022</v>
      </c>
      <c r="L15" s="8">
        <v>2023</v>
      </c>
      <c r="M15" s="9" t="s">
        <v>3</v>
      </c>
      <c r="N15" s="4" t="s">
        <v>4</v>
      </c>
      <c r="O15" s="4" t="s">
        <v>5</v>
      </c>
      <c r="P15" s="3"/>
    </row>
    <row r="16" spans="1:16" ht="15.75">
      <c r="A16" s="10" t="s">
        <v>6</v>
      </c>
      <c r="B16" s="11">
        <v>46.5</v>
      </c>
      <c r="C16" s="11">
        <v>46.5</v>
      </c>
      <c r="D16" s="11">
        <v>40.6</v>
      </c>
      <c r="E16" s="11">
        <v>40.9</v>
      </c>
      <c r="F16" s="11">
        <v>39.200000000000003</v>
      </c>
      <c r="G16" s="11">
        <v>35.5</v>
      </c>
      <c r="H16" s="11">
        <v>35.9</v>
      </c>
      <c r="I16" s="11">
        <v>32.700000000000003</v>
      </c>
      <c r="J16" s="12">
        <v>36.799999999999997</v>
      </c>
      <c r="K16" s="12">
        <v>35</v>
      </c>
      <c r="L16" s="21">
        <v>38.4</v>
      </c>
      <c r="M16" s="13">
        <f t="shared" ref="M16:M19" si="6">(L16-B16)/B16</f>
        <v>-0.1741935483870968</v>
      </c>
      <c r="N16" s="14">
        <f t="shared" ref="N16:N19" si="7">(L16-K16)/K16</f>
        <v>9.71428571428571E-2</v>
      </c>
      <c r="O16" s="14">
        <f t="shared" ref="O16:O19" si="8">(L16-G16)/G16</f>
        <v>8.1690140845070383E-2</v>
      </c>
      <c r="P16" s="3"/>
    </row>
    <row r="17" spans="1:16" ht="15.75">
      <c r="A17" s="10" t="s">
        <v>7</v>
      </c>
      <c r="B17" s="11">
        <v>45</v>
      </c>
      <c r="C17" s="11">
        <v>45.2</v>
      </c>
      <c r="D17" s="11">
        <v>40.200000000000003</v>
      </c>
      <c r="E17" s="11">
        <v>39.799999999999997</v>
      </c>
      <c r="F17" s="11">
        <v>36.299999999999997</v>
      </c>
      <c r="G17" s="11">
        <v>35.6</v>
      </c>
      <c r="H17" s="11">
        <v>34</v>
      </c>
      <c r="I17" s="11">
        <v>31.1</v>
      </c>
      <c r="J17" s="12">
        <v>30.3</v>
      </c>
      <c r="K17" s="12">
        <v>32</v>
      </c>
      <c r="L17" s="21">
        <v>33.5</v>
      </c>
      <c r="M17" s="13">
        <f t="shared" si="6"/>
        <v>-0.25555555555555554</v>
      </c>
      <c r="N17" s="14">
        <f t="shared" si="7"/>
        <v>4.6875E-2</v>
      </c>
      <c r="O17" s="14">
        <f t="shared" si="8"/>
        <v>-5.898876404494386E-2</v>
      </c>
      <c r="P17" s="3"/>
    </row>
    <row r="18" spans="1:16" ht="15.75">
      <c r="A18" s="10" t="s">
        <v>8</v>
      </c>
      <c r="B18" s="11">
        <v>11</v>
      </c>
      <c r="C18" s="11">
        <v>11.9</v>
      </c>
      <c r="D18" s="11">
        <v>9.9</v>
      </c>
      <c r="E18" s="11">
        <v>8.9</v>
      </c>
      <c r="F18" s="11">
        <v>8.5</v>
      </c>
      <c r="G18" s="11">
        <v>7.8</v>
      </c>
      <c r="H18" s="11">
        <v>6.5</v>
      </c>
      <c r="I18" s="11">
        <v>5.6</v>
      </c>
      <c r="J18" s="12">
        <v>6.4</v>
      </c>
      <c r="K18" s="12">
        <v>6.5</v>
      </c>
      <c r="L18" s="21">
        <v>7.5</v>
      </c>
      <c r="M18" s="13">
        <f t="shared" si="6"/>
        <v>-0.31818181818181818</v>
      </c>
      <c r="N18" s="14">
        <f t="shared" si="7"/>
        <v>0.15384615384615385</v>
      </c>
      <c r="O18" s="14">
        <f t="shared" si="8"/>
        <v>-3.8461538461538443E-2</v>
      </c>
      <c r="P18" s="3"/>
    </row>
    <row r="19" spans="1:16" ht="15.75">
      <c r="A19" s="16" t="s">
        <v>9</v>
      </c>
      <c r="B19" s="17">
        <v>14.7</v>
      </c>
      <c r="C19" s="17">
        <v>14.5</v>
      </c>
      <c r="D19" s="17">
        <v>11.8</v>
      </c>
      <c r="E19" s="17">
        <v>11.4</v>
      </c>
      <c r="F19" s="17">
        <v>10.5</v>
      </c>
      <c r="G19" s="17">
        <v>9.4</v>
      </c>
      <c r="H19" s="17">
        <v>9.1999999999999993</v>
      </c>
      <c r="I19" s="17">
        <v>6.3</v>
      </c>
      <c r="J19" s="18">
        <v>6.9</v>
      </c>
      <c r="K19" s="18">
        <v>8.5</v>
      </c>
      <c r="L19" s="22">
        <v>7.8</v>
      </c>
      <c r="M19" s="19">
        <f t="shared" si="6"/>
        <v>-0.46938775510204078</v>
      </c>
      <c r="N19" s="20">
        <f t="shared" si="7"/>
        <v>-8.2352941176470615E-2</v>
      </c>
      <c r="O19" s="20">
        <f t="shared" si="8"/>
        <v>-0.17021276595744686</v>
      </c>
      <c r="P19" s="3"/>
    </row>
    <row r="20" spans="1:16">
      <c r="A20" s="23" t="s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24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</sheetData>
  <mergeCells count="6">
    <mergeCell ref="A2:L2"/>
    <mergeCell ref="M2:O2"/>
    <mergeCell ref="A8:L8"/>
    <mergeCell ref="M8:O8"/>
    <mergeCell ref="A14:L14"/>
    <mergeCell ref="M14:O1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2B0B-6AE8-C249-BA8C-C24C06554A3E}">
  <dimension ref="A1:K34"/>
  <sheetViews>
    <sheetView workbookViewId="0">
      <selection activeCell="H38" sqref="H38"/>
    </sheetView>
  </sheetViews>
  <sheetFormatPr defaultColWidth="11.375" defaultRowHeight="14.25"/>
  <sheetData>
    <row r="1" spans="1:11" ht="15">
      <c r="A1" s="10" t="s">
        <v>13</v>
      </c>
      <c r="B1" s="25"/>
      <c r="C1" s="25"/>
      <c r="D1" s="25"/>
      <c r="E1" s="25"/>
      <c r="F1" s="25"/>
      <c r="G1" s="25"/>
      <c r="H1" s="25"/>
      <c r="I1" s="25"/>
      <c r="J1" s="2"/>
      <c r="K1" s="2"/>
    </row>
    <row r="2" spans="1:11" ht="15">
      <c r="A2" s="10"/>
      <c r="B2" s="100" t="s">
        <v>14</v>
      </c>
      <c r="C2" s="100"/>
      <c r="D2" s="100"/>
      <c r="E2" s="101"/>
      <c r="F2" s="100" t="s">
        <v>15</v>
      </c>
      <c r="G2" s="100"/>
      <c r="H2" s="100"/>
      <c r="I2" s="100"/>
      <c r="J2" s="2"/>
      <c r="K2" s="2"/>
    </row>
    <row r="3" spans="1:11" ht="15">
      <c r="A3" s="10"/>
      <c r="B3" s="100" t="s">
        <v>16</v>
      </c>
      <c r="C3" s="100"/>
      <c r="D3" s="102" t="s">
        <v>17</v>
      </c>
      <c r="E3" s="103"/>
      <c r="F3" s="100" t="s">
        <v>18</v>
      </c>
      <c r="G3" s="100"/>
      <c r="H3" s="102" t="s">
        <v>19</v>
      </c>
      <c r="I3" s="104"/>
      <c r="J3" s="2"/>
      <c r="K3" s="2"/>
    </row>
    <row r="4" spans="1:11" ht="15">
      <c r="A4" s="31"/>
      <c r="B4" s="26" t="s">
        <v>20</v>
      </c>
      <c r="C4" s="29" t="s">
        <v>21</v>
      </c>
      <c r="D4" s="26" t="s">
        <v>20</v>
      </c>
      <c r="E4" s="27" t="s">
        <v>21</v>
      </c>
      <c r="F4" s="26" t="s">
        <v>20</v>
      </c>
      <c r="G4" s="26" t="s">
        <v>21</v>
      </c>
      <c r="H4" s="28" t="s">
        <v>20</v>
      </c>
      <c r="I4" s="26" t="s">
        <v>21</v>
      </c>
      <c r="J4" s="2"/>
      <c r="K4" s="2"/>
    </row>
    <row r="5" spans="1:11" ht="15">
      <c r="A5" s="32" t="s">
        <v>22</v>
      </c>
      <c r="B5" s="33">
        <v>1401</v>
      </c>
      <c r="C5" s="34">
        <v>19.319867930619814</v>
      </c>
      <c r="D5" s="30">
        <v>682</v>
      </c>
      <c r="E5" s="34">
        <v>9.0551492857760856</v>
      </c>
      <c r="F5" s="30">
        <v>512</v>
      </c>
      <c r="G5" s="34">
        <v>5.8592268869101849</v>
      </c>
      <c r="H5" s="30">
        <v>228</v>
      </c>
      <c r="I5" s="35">
        <v>2.2714043571524853</v>
      </c>
      <c r="J5" s="2"/>
      <c r="K5" s="2"/>
    </row>
    <row r="6" spans="1:11" ht="15">
      <c r="A6" s="10" t="s">
        <v>23</v>
      </c>
      <c r="B6" s="25">
        <v>6</v>
      </c>
      <c r="C6" s="36">
        <v>16.842485494898035</v>
      </c>
      <c r="D6" s="25">
        <v>2</v>
      </c>
      <c r="E6" s="36">
        <v>24.001870717593452</v>
      </c>
      <c r="F6" s="25">
        <v>1</v>
      </c>
      <c r="G6" s="36">
        <v>2.9505027316450247</v>
      </c>
      <c r="H6" s="25">
        <v>0</v>
      </c>
      <c r="I6" s="37">
        <v>0</v>
      </c>
      <c r="J6" s="2"/>
      <c r="K6" s="2"/>
    </row>
    <row r="7" spans="1:11" ht="15">
      <c r="A7" s="10" t="s">
        <v>24</v>
      </c>
      <c r="B7" s="25">
        <v>14</v>
      </c>
      <c r="C7" s="36">
        <v>10.564603126122579</v>
      </c>
      <c r="D7" s="25">
        <v>1</v>
      </c>
      <c r="E7" s="36">
        <v>1.9098173654172932</v>
      </c>
      <c r="F7" s="25">
        <v>2</v>
      </c>
      <c r="G7" s="36">
        <v>1.2368731481104882</v>
      </c>
      <c r="H7" s="25">
        <v>1</v>
      </c>
      <c r="I7" s="37">
        <v>1.3839181538898571</v>
      </c>
      <c r="J7" s="2"/>
      <c r="K7" s="2"/>
    </row>
    <row r="8" spans="1:11" ht="15">
      <c r="A8" s="10" t="s">
        <v>25</v>
      </c>
      <c r="B8" s="25">
        <v>15</v>
      </c>
      <c r="C8" s="36">
        <v>42.563934469122309</v>
      </c>
      <c r="D8" s="25">
        <v>3</v>
      </c>
      <c r="E8" s="36">
        <v>39.755574115727654</v>
      </c>
      <c r="F8" s="25">
        <v>3</v>
      </c>
      <c r="G8" s="36">
        <v>7.9634740340303569</v>
      </c>
      <c r="H8" s="25">
        <v>1</v>
      </c>
      <c r="I8" s="37">
        <v>9.9893930577286838</v>
      </c>
      <c r="J8" s="2"/>
      <c r="K8" s="2"/>
    </row>
    <row r="9" spans="1:11" ht="15">
      <c r="A9" s="10" t="s">
        <v>26</v>
      </c>
      <c r="B9" s="25">
        <v>19</v>
      </c>
      <c r="C9" s="36">
        <v>14.087936503311225</v>
      </c>
      <c r="D9" s="25">
        <v>1</v>
      </c>
      <c r="E9" s="36">
        <v>2.5296542964187219</v>
      </c>
      <c r="F9" s="25">
        <v>3</v>
      </c>
      <c r="G9" s="36">
        <v>1.8998475891586619</v>
      </c>
      <c r="H9" s="25">
        <v>0</v>
      </c>
      <c r="I9" s="37">
        <v>0</v>
      </c>
      <c r="J9" s="2"/>
      <c r="K9" s="2"/>
    </row>
    <row r="10" spans="1:11" ht="15">
      <c r="A10" s="10" t="s">
        <v>27</v>
      </c>
      <c r="B10" s="25">
        <v>182</v>
      </c>
      <c r="C10" s="36">
        <v>24.018004965887837</v>
      </c>
      <c r="D10" s="25">
        <v>2</v>
      </c>
      <c r="E10" s="36">
        <v>0.87237173912558574</v>
      </c>
      <c r="F10" s="25">
        <v>136</v>
      </c>
      <c r="G10" s="36">
        <v>14.531594316140794</v>
      </c>
      <c r="H10" s="25">
        <v>1</v>
      </c>
      <c r="I10" s="37">
        <v>0.30132525434012414</v>
      </c>
      <c r="J10" s="2"/>
      <c r="K10" s="2"/>
    </row>
    <row r="11" spans="1:11" ht="15">
      <c r="A11" s="10" t="s">
        <v>28</v>
      </c>
      <c r="B11" s="25">
        <v>106</v>
      </c>
      <c r="C11" s="36">
        <v>25.750301394591979</v>
      </c>
      <c r="D11" s="25">
        <v>9</v>
      </c>
      <c r="E11" s="36">
        <v>4.7564039265975229</v>
      </c>
      <c r="F11" s="25">
        <v>27</v>
      </c>
      <c r="G11" s="36">
        <v>5.1657633191967625</v>
      </c>
      <c r="H11" s="25">
        <v>2</v>
      </c>
      <c r="I11" s="37">
        <v>0.79011615326879703</v>
      </c>
      <c r="J11" s="2"/>
      <c r="K11" s="2"/>
    </row>
    <row r="12" spans="1:11" ht="15">
      <c r="A12" s="10" t="s">
        <v>29</v>
      </c>
      <c r="B12" s="25">
        <v>22</v>
      </c>
      <c r="C12" s="36">
        <v>23.980032843476135</v>
      </c>
      <c r="D12" s="25">
        <v>6</v>
      </c>
      <c r="E12" s="36">
        <v>7.2228288801858529</v>
      </c>
      <c r="F12" s="25">
        <v>10</v>
      </c>
      <c r="G12" s="36">
        <v>8.3917618153629885</v>
      </c>
      <c r="H12" s="25">
        <v>5</v>
      </c>
      <c r="I12" s="37">
        <v>4.3728101638871779</v>
      </c>
      <c r="J12" s="2"/>
      <c r="K12" s="2"/>
    </row>
    <row r="13" spans="1:11" ht="15">
      <c r="A13" s="10" t="s">
        <v>30</v>
      </c>
      <c r="B13" s="25">
        <v>67</v>
      </c>
      <c r="C13" s="36">
        <v>43.039464882254961</v>
      </c>
      <c r="D13" s="25">
        <v>23</v>
      </c>
      <c r="E13" s="36">
        <v>15.830095696355633</v>
      </c>
      <c r="F13" s="25">
        <v>21</v>
      </c>
      <c r="G13" s="36">
        <v>11.321559472299723</v>
      </c>
      <c r="H13" s="25">
        <v>7</v>
      </c>
      <c r="I13" s="37">
        <v>4.0440312589964398</v>
      </c>
      <c r="J13" s="2"/>
      <c r="K13" s="2"/>
    </row>
    <row r="14" spans="1:11" ht="15">
      <c r="A14" s="10" t="s">
        <v>31</v>
      </c>
      <c r="B14" s="25">
        <v>56</v>
      </c>
      <c r="C14" s="36">
        <v>20.394031732554957</v>
      </c>
      <c r="D14" s="25">
        <v>21</v>
      </c>
      <c r="E14" s="36">
        <v>11.318031540427585</v>
      </c>
      <c r="F14" s="25">
        <v>22</v>
      </c>
      <c r="G14" s="36">
        <v>7.1014295031167407</v>
      </c>
      <c r="H14" s="25">
        <v>14</v>
      </c>
      <c r="I14" s="37">
        <v>5.4705611389579234</v>
      </c>
      <c r="J14" s="2"/>
      <c r="K14" s="2"/>
    </row>
    <row r="15" spans="1:11" ht="15">
      <c r="A15" s="10" t="s">
        <v>32</v>
      </c>
      <c r="B15" s="25">
        <v>35</v>
      </c>
      <c r="C15" s="36">
        <v>11.087968309762509</v>
      </c>
      <c r="D15" s="25">
        <v>0</v>
      </c>
      <c r="E15" s="36">
        <v>0</v>
      </c>
      <c r="F15" s="25">
        <v>24</v>
      </c>
      <c r="G15" s="36">
        <v>6.8168656077556768</v>
      </c>
      <c r="H15" s="25">
        <v>0</v>
      </c>
      <c r="I15" s="37">
        <v>0</v>
      </c>
      <c r="J15" s="2"/>
      <c r="K15" s="2"/>
    </row>
    <row r="16" spans="1:11" ht="15">
      <c r="A16" s="10" t="s">
        <v>33</v>
      </c>
      <c r="B16" s="25">
        <v>12</v>
      </c>
      <c r="C16" s="36">
        <v>10.115772432905873</v>
      </c>
      <c r="D16" s="25">
        <v>7</v>
      </c>
      <c r="E16" s="36">
        <v>8.8493586689806794</v>
      </c>
      <c r="F16" s="25">
        <v>2</v>
      </c>
      <c r="G16" s="36">
        <v>1.4725703257624509</v>
      </c>
      <c r="H16" s="25">
        <v>2</v>
      </c>
      <c r="I16" s="37">
        <v>2.1775164998080219</v>
      </c>
      <c r="J16" s="2"/>
      <c r="K16" s="2"/>
    </row>
    <row r="17" spans="1:11" ht="15">
      <c r="A17" s="10" t="s">
        <v>34</v>
      </c>
      <c r="B17" s="25">
        <v>33</v>
      </c>
      <c r="C17" s="36">
        <v>34.126316084142736</v>
      </c>
      <c r="D17" s="25">
        <v>13</v>
      </c>
      <c r="E17" s="36">
        <v>15.492870079470098</v>
      </c>
      <c r="F17" s="25">
        <v>4</v>
      </c>
      <c r="G17" s="36">
        <v>4.1226048639717314</v>
      </c>
      <c r="H17" s="25">
        <v>2</v>
      </c>
      <c r="I17" s="37">
        <v>2.0579096410265993</v>
      </c>
      <c r="J17" s="2"/>
      <c r="K17" s="2"/>
    </row>
    <row r="18" spans="1:11" ht="15">
      <c r="A18" s="10" t="s">
        <v>35</v>
      </c>
      <c r="B18" s="25">
        <v>164</v>
      </c>
      <c r="C18" s="36">
        <v>19.92694078714889</v>
      </c>
      <c r="D18" s="25">
        <v>82</v>
      </c>
      <c r="E18" s="36">
        <v>10.415026676942707</v>
      </c>
      <c r="F18" s="25">
        <v>46</v>
      </c>
      <c r="G18" s="36">
        <v>4.6797833809201537</v>
      </c>
      <c r="H18" s="25">
        <v>28</v>
      </c>
      <c r="I18" s="37">
        <v>3.0097666634822788</v>
      </c>
      <c r="J18" s="2"/>
      <c r="K18" s="2"/>
    </row>
    <row r="19" spans="1:11" ht="15">
      <c r="A19" s="10" t="s">
        <v>36</v>
      </c>
      <c r="B19" s="25">
        <v>200</v>
      </c>
      <c r="C19" s="36">
        <v>57.57190964127372</v>
      </c>
      <c r="D19" s="25">
        <v>2</v>
      </c>
      <c r="E19" s="36">
        <v>2.0102157964899749</v>
      </c>
      <c r="F19" s="25">
        <v>87</v>
      </c>
      <c r="G19" s="36">
        <v>21.069118859146709</v>
      </c>
      <c r="H19" s="25">
        <v>2</v>
      </c>
      <c r="I19" s="37">
        <v>1.7785620819324246</v>
      </c>
      <c r="J19" s="2"/>
      <c r="K19" s="2"/>
    </row>
    <row r="20" spans="1:11" ht="15">
      <c r="A20" s="10" t="s">
        <v>37</v>
      </c>
      <c r="B20" s="25">
        <v>20</v>
      </c>
      <c r="C20" s="36">
        <v>11.97118498278904</v>
      </c>
      <c r="D20" s="25">
        <v>0</v>
      </c>
      <c r="E20" s="36">
        <v>0</v>
      </c>
      <c r="F20" s="25">
        <v>6</v>
      </c>
      <c r="G20" s="36">
        <v>2.9564738269476001</v>
      </c>
      <c r="H20" s="25">
        <v>0</v>
      </c>
      <c r="I20" s="37">
        <v>0</v>
      </c>
      <c r="J20" s="2"/>
      <c r="K20" s="2"/>
    </row>
    <row r="21" spans="1:11" ht="15">
      <c r="A21" s="10" t="s">
        <v>38</v>
      </c>
      <c r="B21" s="25">
        <v>23</v>
      </c>
      <c r="C21" s="36">
        <v>8.3556122052466311</v>
      </c>
      <c r="D21" s="25">
        <v>96</v>
      </c>
      <c r="E21" s="36">
        <v>17.127406009065016</v>
      </c>
      <c r="F21" s="25">
        <v>4</v>
      </c>
      <c r="G21" s="36">
        <v>1.4484866915304722</v>
      </c>
      <c r="H21" s="25">
        <v>24</v>
      </c>
      <c r="I21" s="37">
        <v>3.324603776645946</v>
      </c>
      <c r="J21" s="2"/>
      <c r="K21" s="2"/>
    </row>
    <row r="22" spans="1:11" ht="15">
      <c r="A22" s="10" t="s">
        <v>39</v>
      </c>
      <c r="B22" s="25">
        <v>39</v>
      </c>
      <c r="C22" s="36">
        <v>9.6872313236628607</v>
      </c>
      <c r="D22" s="25">
        <v>3</v>
      </c>
      <c r="E22" s="36">
        <v>1.3704719259258316</v>
      </c>
      <c r="F22" s="25">
        <v>5</v>
      </c>
      <c r="G22" s="36">
        <v>1.0442816930283736</v>
      </c>
      <c r="H22" s="25">
        <v>0</v>
      </c>
      <c r="I22" s="37">
        <v>0</v>
      </c>
      <c r="J22" s="2"/>
      <c r="K22" s="2"/>
    </row>
    <row r="23" spans="1:11" ht="15">
      <c r="A23" s="10" t="s">
        <v>40</v>
      </c>
      <c r="B23" s="25">
        <v>40</v>
      </c>
      <c r="C23" s="36">
        <v>24.001816807081461</v>
      </c>
      <c r="D23" s="25">
        <v>0</v>
      </c>
      <c r="E23" s="36">
        <v>0</v>
      </c>
      <c r="F23" s="25">
        <v>6</v>
      </c>
      <c r="G23" s="36">
        <v>2.9142572040608505</v>
      </c>
      <c r="H23" s="25">
        <v>0</v>
      </c>
      <c r="I23" s="37">
        <v>0</v>
      </c>
      <c r="J23" s="2"/>
      <c r="K23" s="2"/>
    </row>
    <row r="24" spans="1:11" ht="15">
      <c r="A24" s="10" t="s">
        <v>41</v>
      </c>
      <c r="B24" s="25">
        <v>52</v>
      </c>
      <c r="C24" s="36">
        <v>7.5850011164987432</v>
      </c>
      <c r="D24" s="25">
        <v>35</v>
      </c>
      <c r="E24" s="36">
        <v>4.7203261721822605</v>
      </c>
      <c r="F24" s="25">
        <v>19</v>
      </c>
      <c r="G24" s="36">
        <v>2.0869213573983623</v>
      </c>
      <c r="H24" s="25">
        <v>6</v>
      </c>
      <c r="I24" s="37">
        <v>0.56750129665186477</v>
      </c>
      <c r="J24" s="2"/>
      <c r="K24" s="2"/>
    </row>
    <row r="25" spans="1:11" ht="15">
      <c r="A25" s="10" t="s">
        <v>42</v>
      </c>
      <c r="B25" s="25">
        <v>55</v>
      </c>
      <c r="C25" s="36">
        <v>35.390788097313504</v>
      </c>
      <c r="D25" s="25">
        <v>18</v>
      </c>
      <c r="E25" s="36">
        <v>20.239145999975182</v>
      </c>
      <c r="F25" s="25">
        <v>34</v>
      </c>
      <c r="G25" s="36">
        <v>19.925547365611347</v>
      </c>
      <c r="H25" s="25">
        <v>12</v>
      </c>
      <c r="I25" s="37">
        <v>8.3945258012285002</v>
      </c>
      <c r="J25" s="2"/>
      <c r="K25" s="2"/>
    </row>
    <row r="26" spans="1:11" ht="15">
      <c r="A26" s="10" t="s">
        <v>43</v>
      </c>
      <c r="B26" s="25">
        <v>6</v>
      </c>
      <c r="C26" s="36">
        <v>3.6219633679377519</v>
      </c>
      <c r="D26" s="25">
        <v>73</v>
      </c>
      <c r="E26" s="36">
        <v>8.9515790532039468</v>
      </c>
      <c r="F26" s="25">
        <v>3</v>
      </c>
      <c r="G26" s="36">
        <v>1.5887182663770034</v>
      </c>
      <c r="H26" s="25">
        <v>21</v>
      </c>
      <c r="I26" s="37">
        <v>2.0317286473045644</v>
      </c>
      <c r="J26" s="2"/>
      <c r="K26" s="2"/>
    </row>
    <row r="27" spans="1:11" ht="15">
      <c r="A27" s="10" t="s">
        <v>44</v>
      </c>
      <c r="B27" s="25">
        <v>20</v>
      </c>
      <c r="C27" s="36">
        <v>23.874453109632054</v>
      </c>
      <c r="D27" s="25">
        <v>2</v>
      </c>
      <c r="E27" s="36">
        <v>4.7000806754301188</v>
      </c>
      <c r="F27" s="25">
        <v>3</v>
      </c>
      <c r="G27" s="36">
        <v>3.1711832314330652</v>
      </c>
      <c r="H27" s="25">
        <v>3</v>
      </c>
      <c r="I27" s="37">
        <v>6.2760246241142106</v>
      </c>
      <c r="J27" s="2"/>
      <c r="K27" s="2"/>
    </row>
    <row r="28" spans="1:11" ht="15">
      <c r="A28" s="10" t="s">
        <v>45</v>
      </c>
      <c r="B28" s="25">
        <v>5</v>
      </c>
      <c r="C28" s="36">
        <v>28.131883340739346</v>
      </c>
      <c r="D28" s="25">
        <v>1</v>
      </c>
      <c r="E28" s="36">
        <v>14.116569355795495</v>
      </c>
      <c r="F28" s="25">
        <v>0</v>
      </c>
      <c r="G28" s="36">
        <v>0</v>
      </c>
      <c r="H28" s="25">
        <v>0</v>
      </c>
      <c r="I28" s="37">
        <v>0</v>
      </c>
      <c r="J28" s="2"/>
      <c r="K28" s="2"/>
    </row>
    <row r="29" spans="1:11" ht="15">
      <c r="A29" s="10" t="s">
        <v>46</v>
      </c>
      <c r="B29" s="25">
        <v>8</v>
      </c>
      <c r="C29" s="36">
        <v>11.987035323660397</v>
      </c>
      <c r="D29" s="25">
        <v>74</v>
      </c>
      <c r="E29" s="36">
        <v>17.478417420105441</v>
      </c>
      <c r="F29" s="25">
        <v>4</v>
      </c>
      <c r="G29" s="36">
        <v>4.779460693587696</v>
      </c>
      <c r="H29" s="25">
        <v>38</v>
      </c>
      <c r="I29" s="37">
        <v>7.1810462914689319</v>
      </c>
      <c r="J29" s="2"/>
      <c r="K29" s="38"/>
    </row>
    <row r="30" spans="1:11" ht="15">
      <c r="A30" s="10" t="s">
        <v>47</v>
      </c>
      <c r="B30" s="25">
        <v>151</v>
      </c>
      <c r="C30" s="36">
        <v>12.949860519663446</v>
      </c>
      <c r="D30" s="25">
        <v>208</v>
      </c>
      <c r="E30" s="36">
        <v>8.7963660042089256</v>
      </c>
      <c r="F30" s="25">
        <v>29</v>
      </c>
      <c r="G30" s="36">
        <v>1.9713085801739818</v>
      </c>
      <c r="H30" s="25">
        <v>59</v>
      </c>
      <c r="I30" s="37">
        <v>1.7800429327714631</v>
      </c>
      <c r="J30" s="2"/>
      <c r="K30" s="2"/>
    </row>
    <row r="31" spans="1:11" ht="15">
      <c r="A31" s="10" t="s">
        <v>48</v>
      </c>
      <c r="B31" s="25">
        <v>8</v>
      </c>
      <c r="C31" s="36">
        <v>8.6596228294591064</v>
      </c>
      <c r="D31" s="25">
        <v>0</v>
      </c>
      <c r="E31" s="36">
        <v>0</v>
      </c>
      <c r="F31" s="25">
        <v>4</v>
      </c>
      <c r="G31" s="36">
        <v>3.2666592911257628</v>
      </c>
      <c r="H31" s="25">
        <v>0</v>
      </c>
      <c r="I31" s="37">
        <v>0</v>
      </c>
      <c r="J31" s="2"/>
      <c r="K31" s="2"/>
    </row>
    <row r="32" spans="1:11" ht="15">
      <c r="A32" s="39" t="s">
        <v>49</v>
      </c>
      <c r="B32" s="40">
        <v>43</v>
      </c>
      <c r="C32" s="41">
        <v>56.842044214568922</v>
      </c>
      <c r="D32" s="40">
        <v>0</v>
      </c>
      <c r="E32" s="41">
        <v>0</v>
      </c>
      <c r="F32" s="40">
        <v>7</v>
      </c>
      <c r="G32" s="41">
        <v>9.8592995182128629</v>
      </c>
      <c r="H32" s="40">
        <v>0</v>
      </c>
      <c r="I32" s="42">
        <v>0</v>
      </c>
      <c r="J32" s="2"/>
      <c r="K32" s="2"/>
    </row>
    <row r="33" spans="1:11" ht="15">
      <c r="A33" s="43" t="s">
        <v>50</v>
      </c>
      <c r="B33" s="25"/>
      <c r="C33" s="25"/>
      <c r="D33" s="25"/>
      <c r="E33" s="25"/>
      <c r="F33" s="25"/>
      <c r="G33" s="25"/>
      <c r="H33" s="25"/>
      <c r="I33" s="25"/>
      <c r="J33" s="2"/>
      <c r="K33" s="2"/>
    </row>
    <row r="34" spans="1:11" ht="15">
      <c r="A34" s="24"/>
      <c r="B34" s="25"/>
      <c r="C34" s="25"/>
      <c r="D34" s="25"/>
      <c r="E34" s="25"/>
      <c r="F34" s="25"/>
      <c r="G34" s="25"/>
      <c r="H34" s="25"/>
      <c r="I34" s="25"/>
      <c r="J34" s="2"/>
      <c r="K34" s="2"/>
    </row>
  </sheetData>
  <mergeCells count="6">
    <mergeCell ref="B2:E2"/>
    <mergeCell ref="F2:I2"/>
    <mergeCell ref="B3:C3"/>
    <mergeCell ref="D3:E3"/>
    <mergeCell ref="F3:G3"/>
    <mergeCell ref="H3:I3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6512-F1A9-A443-9438-7739E3C80F07}">
  <dimension ref="A1:P74"/>
  <sheetViews>
    <sheetView workbookViewId="0">
      <selection activeCell="I34" sqref="I34"/>
    </sheetView>
  </sheetViews>
  <sheetFormatPr defaultColWidth="11.375" defaultRowHeight="14.25"/>
  <sheetData>
    <row r="1" spans="1:16" ht="15">
      <c r="A1" s="10" t="s">
        <v>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6" ht="15">
      <c r="A2" s="44"/>
      <c r="B2" s="104" t="s">
        <v>52</v>
      </c>
      <c r="C2" s="104"/>
      <c r="D2" s="104"/>
      <c r="E2" s="104"/>
      <c r="F2" s="104"/>
      <c r="G2" s="104"/>
      <c r="H2" s="104"/>
      <c r="I2" s="104"/>
      <c r="J2" s="104"/>
      <c r="K2" s="104"/>
      <c r="L2" s="105"/>
      <c r="M2" s="106" t="s">
        <v>2</v>
      </c>
      <c r="N2" s="107"/>
      <c r="O2" s="107"/>
      <c r="P2" s="3"/>
    </row>
    <row r="3" spans="1:16">
      <c r="A3" s="46"/>
      <c r="B3" s="46">
        <v>2013</v>
      </c>
      <c r="C3" s="46">
        <v>2014</v>
      </c>
      <c r="D3" s="46">
        <v>2015</v>
      </c>
      <c r="E3" s="46">
        <v>2016</v>
      </c>
      <c r="F3" s="46">
        <v>2017</v>
      </c>
      <c r="G3" s="46">
        <v>2018</v>
      </c>
      <c r="H3" s="46">
        <v>2019</v>
      </c>
      <c r="I3" s="46">
        <v>2020</v>
      </c>
      <c r="J3" s="46">
        <v>2021</v>
      </c>
      <c r="K3" s="46">
        <v>2022</v>
      </c>
      <c r="L3" s="45">
        <v>2023</v>
      </c>
      <c r="M3" s="46" t="s">
        <v>3</v>
      </c>
      <c r="N3" s="46" t="s">
        <v>4</v>
      </c>
      <c r="O3" s="46" t="s">
        <v>5</v>
      </c>
      <c r="P3" s="3"/>
    </row>
    <row r="4" spans="1:16">
      <c r="A4" s="47" t="s">
        <v>22</v>
      </c>
      <c r="B4" s="48">
        <v>8179</v>
      </c>
      <c r="C4" s="48">
        <v>9223</v>
      </c>
      <c r="D4" s="48">
        <v>10844</v>
      </c>
      <c r="E4" s="48">
        <v>12612</v>
      </c>
      <c r="F4" s="48">
        <v>14865</v>
      </c>
      <c r="G4" s="48">
        <v>16781</v>
      </c>
      <c r="H4" s="48">
        <v>17787</v>
      </c>
      <c r="I4" s="48">
        <v>14603</v>
      </c>
      <c r="J4" s="48">
        <v>16622</v>
      </c>
      <c r="K4" s="48">
        <v>20209</v>
      </c>
      <c r="L4" s="49">
        <v>28704</v>
      </c>
      <c r="M4" s="50">
        <f t="shared" ref="M4:M31" si="0">(L4-B4)/B4</f>
        <v>2.5094754860007336</v>
      </c>
      <c r="N4" s="50">
        <f t="shared" ref="N4:N31" si="1">(L4-K4)/K4</f>
        <v>0.42035726656440198</v>
      </c>
      <c r="O4" s="50">
        <f t="shared" ref="O4:O31" si="2">(L4-G4)/G4</f>
        <v>0.7105059293248317</v>
      </c>
      <c r="P4" s="3"/>
    </row>
    <row r="5" spans="1:16" ht="15">
      <c r="A5" s="2" t="s">
        <v>23</v>
      </c>
      <c r="B5" s="51">
        <v>28</v>
      </c>
      <c r="C5" s="51">
        <v>12</v>
      </c>
      <c r="D5" s="51">
        <v>25</v>
      </c>
      <c r="E5" s="51">
        <v>28</v>
      </c>
      <c r="F5" s="51">
        <v>37</v>
      </c>
      <c r="G5" s="51">
        <v>32</v>
      </c>
      <c r="H5" s="51">
        <v>34</v>
      </c>
      <c r="I5" s="51">
        <v>28</v>
      </c>
      <c r="J5" s="51">
        <v>33</v>
      </c>
      <c r="K5" s="51">
        <v>46</v>
      </c>
      <c r="L5" s="52">
        <v>42</v>
      </c>
      <c r="M5" s="53">
        <f t="shared" si="0"/>
        <v>0.5</v>
      </c>
      <c r="N5" s="53">
        <f t="shared" si="1"/>
        <v>-8.6956521739130432E-2</v>
      </c>
      <c r="O5" s="53">
        <f t="shared" si="2"/>
        <v>0.3125</v>
      </c>
      <c r="P5" s="3"/>
    </row>
    <row r="6" spans="1:16" ht="15">
      <c r="A6" s="2" t="s">
        <v>24</v>
      </c>
      <c r="B6" s="51">
        <v>34</v>
      </c>
      <c r="C6" s="51">
        <v>58</v>
      </c>
      <c r="D6" s="51">
        <v>80</v>
      </c>
      <c r="E6" s="51">
        <v>96</v>
      </c>
      <c r="F6" s="51">
        <v>127</v>
      </c>
      <c r="G6" s="51">
        <v>127</v>
      </c>
      <c r="H6" s="51">
        <v>99</v>
      </c>
      <c r="I6" s="51">
        <v>80</v>
      </c>
      <c r="J6" s="51">
        <v>82</v>
      </c>
      <c r="K6" s="51">
        <v>127</v>
      </c>
      <c r="L6" s="52">
        <v>173</v>
      </c>
      <c r="M6" s="53">
        <f t="shared" si="0"/>
        <v>4.0882352941176467</v>
      </c>
      <c r="N6" s="53">
        <f t="shared" si="1"/>
        <v>0.36220472440944884</v>
      </c>
      <c r="O6" s="53">
        <f t="shared" si="2"/>
        <v>0.36220472440944884</v>
      </c>
      <c r="P6" s="3"/>
    </row>
    <row r="7" spans="1:16" ht="15">
      <c r="A7" s="2" t="s">
        <v>25</v>
      </c>
      <c r="B7" s="51">
        <v>3</v>
      </c>
      <c r="C7" s="51">
        <v>5</v>
      </c>
      <c r="D7" s="51">
        <v>2</v>
      </c>
      <c r="E7" s="51">
        <v>11</v>
      </c>
      <c r="F7" s="51">
        <v>14</v>
      </c>
      <c r="G7" s="51">
        <v>12</v>
      </c>
      <c r="H7" s="51">
        <v>22</v>
      </c>
      <c r="I7" s="51">
        <v>6</v>
      </c>
      <c r="J7" s="51">
        <v>4</v>
      </c>
      <c r="K7" s="51">
        <v>10</v>
      </c>
      <c r="L7" s="52">
        <v>16</v>
      </c>
      <c r="M7" s="53">
        <f t="shared" si="0"/>
        <v>4.333333333333333</v>
      </c>
      <c r="N7" s="53">
        <f t="shared" si="1"/>
        <v>0.6</v>
      </c>
      <c r="O7" s="53">
        <f t="shared" si="2"/>
        <v>0.33333333333333331</v>
      </c>
      <c r="P7" s="3"/>
    </row>
    <row r="8" spans="1:16" ht="15">
      <c r="A8" s="2" t="s">
        <v>26</v>
      </c>
      <c r="B8" s="51">
        <v>99</v>
      </c>
      <c r="C8" s="51">
        <v>63</v>
      </c>
      <c r="D8" s="51">
        <v>69</v>
      </c>
      <c r="E8" s="51">
        <v>71</v>
      </c>
      <c r="F8" s="51">
        <v>105</v>
      </c>
      <c r="G8" s="51">
        <v>129</v>
      </c>
      <c r="H8" s="51">
        <v>163</v>
      </c>
      <c r="I8" s="51">
        <v>128</v>
      </c>
      <c r="J8" s="51">
        <v>173</v>
      </c>
      <c r="K8" s="51">
        <v>224</v>
      </c>
      <c r="L8" s="52">
        <v>305</v>
      </c>
      <c r="M8" s="53">
        <f t="shared" si="0"/>
        <v>2.0808080808080809</v>
      </c>
      <c r="N8" s="53">
        <f t="shared" si="1"/>
        <v>0.36160714285714285</v>
      </c>
      <c r="O8" s="53">
        <f t="shared" si="2"/>
        <v>1.3643410852713178</v>
      </c>
      <c r="P8" s="3"/>
    </row>
    <row r="9" spans="1:16" ht="15">
      <c r="A9" s="2" t="s">
        <v>27</v>
      </c>
      <c r="B9" s="51">
        <v>223</v>
      </c>
      <c r="C9" s="51">
        <v>230</v>
      </c>
      <c r="D9" s="51">
        <v>228</v>
      </c>
      <c r="E9" s="51">
        <v>332</v>
      </c>
      <c r="F9" s="51">
        <v>444</v>
      </c>
      <c r="G9" s="51">
        <v>553</v>
      </c>
      <c r="H9" s="51">
        <v>675</v>
      </c>
      <c r="I9" s="51">
        <v>580</v>
      </c>
      <c r="J9" s="51">
        <v>637</v>
      </c>
      <c r="K9" s="51">
        <v>679</v>
      </c>
      <c r="L9" s="52">
        <v>916</v>
      </c>
      <c r="M9" s="53">
        <f t="shared" si="0"/>
        <v>3.1076233183856501</v>
      </c>
      <c r="N9" s="53">
        <f t="shared" si="1"/>
        <v>0.34904270986745212</v>
      </c>
      <c r="O9" s="53">
        <f t="shared" si="2"/>
        <v>0.65641952983725138</v>
      </c>
      <c r="P9" s="3"/>
    </row>
    <row r="10" spans="1:16" ht="15">
      <c r="A10" s="2" t="s">
        <v>28</v>
      </c>
      <c r="B10" s="51">
        <v>101</v>
      </c>
      <c r="C10" s="51">
        <v>158</v>
      </c>
      <c r="D10" s="51">
        <v>235</v>
      </c>
      <c r="E10" s="51">
        <v>417</v>
      </c>
      <c r="F10" s="51">
        <v>514</v>
      </c>
      <c r="G10" s="51">
        <v>647</v>
      </c>
      <c r="H10" s="51">
        <v>562</v>
      </c>
      <c r="I10" s="51">
        <v>448</v>
      </c>
      <c r="J10" s="51">
        <v>498</v>
      </c>
      <c r="K10" s="51">
        <v>1222</v>
      </c>
      <c r="L10" s="52">
        <v>1970</v>
      </c>
      <c r="M10" s="53">
        <f t="shared" si="0"/>
        <v>18.504950495049506</v>
      </c>
      <c r="N10" s="53">
        <f t="shared" si="1"/>
        <v>0.61211129296235678</v>
      </c>
      <c r="O10" s="53">
        <f t="shared" si="2"/>
        <v>2.044822256568779</v>
      </c>
      <c r="P10" s="3"/>
    </row>
    <row r="11" spans="1:16" ht="15">
      <c r="A11" s="2" t="s">
        <v>29</v>
      </c>
      <c r="B11" s="51">
        <v>117</v>
      </c>
      <c r="C11" s="51">
        <v>93</v>
      </c>
      <c r="D11" s="51">
        <v>70</v>
      </c>
      <c r="E11" s="51">
        <v>78</v>
      </c>
      <c r="F11" s="51">
        <v>96</v>
      </c>
      <c r="G11" s="51">
        <v>91</v>
      </c>
      <c r="H11" s="51">
        <v>98</v>
      </c>
      <c r="I11" s="51">
        <v>82</v>
      </c>
      <c r="J11" s="51">
        <v>90</v>
      </c>
      <c r="K11" s="51">
        <v>110</v>
      </c>
      <c r="L11" s="52">
        <v>203</v>
      </c>
      <c r="M11" s="53">
        <f t="shared" si="0"/>
        <v>0.7350427350427351</v>
      </c>
      <c r="N11" s="53">
        <f t="shared" si="1"/>
        <v>0.84545454545454546</v>
      </c>
      <c r="O11" s="53">
        <f t="shared" si="2"/>
        <v>1.2307692307692308</v>
      </c>
      <c r="P11" s="3"/>
    </row>
    <row r="12" spans="1:16" ht="15">
      <c r="A12" s="2" t="s">
        <v>30</v>
      </c>
      <c r="B12" s="51">
        <v>96</v>
      </c>
      <c r="C12" s="51">
        <v>215</v>
      </c>
      <c r="D12" s="51">
        <v>185</v>
      </c>
      <c r="E12" s="51">
        <v>284</v>
      </c>
      <c r="F12" s="51">
        <v>349</v>
      </c>
      <c r="G12" s="51">
        <v>370</v>
      </c>
      <c r="H12" s="51">
        <v>326</v>
      </c>
      <c r="I12" s="51">
        <v>321</v>
      </c>
      <c r="J12" s="51">
        <v>393</v>
      </c>
      <c r="K12" s="51">
        <v>522</v>
      </c>
      <c r="L12" s="52">
        <v>781</v>
      </c>
      <c r="M12" s="53">
        <f t="shared" si="0"/>
        <v>7.135416666666667</v>
      </c>
      <c r="N12" s="53">
        <f t="shared" si="1"/>
        <v>0.49616858237547895</v>
      </c>
      <c r="O12" s="53">
        <f t="shared" si="2"/>
        <v>1.1108108108108108</v>
      </c>
      <c r="P12" s="3"/>
    </row>
    <row r="13" spans="1:16" ht="15">
      <c r="A13" s="2" t="s">
        <v>31</v>
      </c>
      <c r="B13" s="51">
        <v>264</v>
      </c>
      <c r="C13" s="51">
        <v>331</v>
      </c>
      <c r="D13" s="51">
        <v>298</v>
      </c>
      <c r="E13" s="51">
        <v>269</v>
      </c>
      <c r="F13" s="51">
        <v>251</v>
      </c>
      <c r="G13" s="51">
        <v>315</v>
      </c>
      <c r="H13" s="51">
        <v>432</v>
      </c>
      <c r="I13" s="51">
        <v>295</v>
      </c>
      <c r="J13" s="51">
        <v>406</v>
      </c>
      <c r="K13" s="51">
        <v>490</v>
      </c>
      <c r="L13" s="52">
        <v>860</v>
      </c>
      <c r="M13" s="53">
        <f t="shared" si="0"/>
        <v>2.2575757575757578</v>
      </c>
      <c r="N13" s="53">
        <f t="shared" si="1"/>
        <v>0.75510204081632648</v>
      </c>
      <c r="O13" s="53">
        <f t="shared" si="2"/>
        <v>1.7301587301587302</v>
      </c>
      <c r="P13" s="3"/>
    </row>
    <row r="14" spans="1:16" ht="15">
      <c r="A14" s="2" t="s">
        <v>32</v>
      </c>
      <c r="B14" s="51">
        <v>172</v>
      </c>
      <c r="C14" s="51">
        <v>107</v>
      </c>
      <c r="D14" s="51">
        <v>102</v>
      </c>
      <c r="E14" s="51">
        <v>66</v>
      </c>
      <c r="F14" s="51">
        <v>83</v>
      </c>
      <c r="G14" s="51">
        <v>129</v>
      </c>
      <c r="H14" s="51">
        <v>124</v>
      </c>
      <c r="I14" s="51">
        <v>122</v>
      </c>
      <c r="J14" s="51">
        <v>130</v>
      </c>
      <c r="K14" s="51">
        <v>181</v>
      </c>
      <c r="L14" s="52">
        <v>222</v>
      </c>
      <c r="M14" s="53">
        <f t="shared" si="0"/>
        <v>0.29069767441860467</v>
      </c>
      <c r="N14" s="53">
        <f t="shared" si="1"/>
        <v>0.22651933701657459</v>
      </c>
      <c r="O14" s="53">
        <f t="shared" si="2"/>
        <v>0.72093023255813948</v>
      </c>
      <c r="P14" s="3"/>
    </row>
    <row r="15" spans="1:16" ht="15">
      <c r="A15" s="2" t="s">
        <v>33</v>
      </c>
      <c r="B15" s="51">
        <v>53</v>
      </c>
      <c r="C15" s="51">
        <v>59</v>
      </c>
      <c r="D15" s="51">
        <v>59</v>
      </c>
      <c r="E15" s="51">
        <v>77</v>
      </c>
      <c r="F15" s="51">
        <v>81</v>
      </c>
      <c r="G15" s="51">
        <v>96</v>
      </c>
      <c r="H15" s="51">
        <v>93</v>
      </c>
      <c r="I15" s="51">
        <v>63</v>
      </c>
      <c r="J15" s="51">
        <v>77</v>
      </c>
      <c r="K15" s="51">
        <v>126</v>
      </c>
      <c r="L15" s="52">
        <v>156</v>
      </c>
      <c r="M15" s="53">
        <f t="shared" si="0"/>
        <v>1.9433962264150944</v>
      </c>
      <c r="N15" s="53">
        <f t="shared" si="1"/>
        <v>0.23809523809523808</v>
      </c>
      <c r="O15" s="53">
        <f t="shared" si="2"/>
        <v>0.625</v>
      </c>
      <c r="P15" s="3"/>
    </row>
    <row r="16" spans="1:16" ht="15">
      <c r="A16" s="2" t="s">
        <v>34</v>
      </c>
      <c r="B16" s="51">
        <v>629</v>
      </c>
      <c r="C16" s="51">
        <v>581</v>
      </c>
      <c r="D16" s="51">
        <v>568</v>
      </c>
      <c r="E16" s="51">
        <v>639</v>
      </c>
      <c r="F16" s="51">
        <v>696</v>
      </c>
      <c r="G16" s="51">
        <v>786</v>
      </c>
      <c r="H16" s="51">
        <v>889</v>
      </c>
      <c r="I16" s="51">
        <v>800</v>
      </c>
      <c r="J16" s="51">
        <v>775</v>
      </c>
      <c r="K16" s="51">
        <v>687</v>
      </c>
      <c r="L16" s="52">
        <v>1173</v>
      </c>
      <c r="M16" s="53">
        <f t="shared" si="0"/>
        <v>0.86486486486486491</v>
      </c>
      <c r="N16" s="53">
        <f t="shared" si="1"/>
        <v>0.70742358078602618</v>
      </c>
      <c r="O16" s="53">
        <f t="shared" si="2"/>
        <v>0.49236641221374045</v>
      </c>
      <c r="P16" s="3"/>
    </row>
    <row r="17" spans="1:16" ht="15">
      <c r="A17" s="2" t="s">
        <v>35</v>
      </c>
      <c r="B17" s="51">
        <v>1389</v>
      </c>
      <c r="C17" s="51">
        <v>1899</v>
      </c>
      <c r="D17" s="51">
        <v>2484</v>
      </c>
      <c r="E17" s="51">
        <v>2344</v>
      </c>
      <c r="F17" s="51">
        <v>2650</v>
      </c>
      <c r="G17" s="51">
        <v>2717</v>
      </c>
      <c r="H17" s="51">
        <v>2615</v>
      </c>
      <c r="I17" s="51">
        <v>1802</v>
      </c>
      <c r="J17" s="51">
        <v>1679</v>
      </c>
      <c r="K17" s="51">
        <v>1961</v>
      </c>
      <c r="L17" s="52">
        <v>2593</v>
      </c>
      <c r="M17" s="53">
        <f t="shared" si="0"/>
        <v>0.86681065514758815</v>
      </c>
      <c r="N17" s="53">
        <f t="shared" si="1"/>
        <v>0.32228454869964301</v>
      </c>
      <c r="O17" s="53">
        <f t="shared" si="2"/>
        <v>-4.5638571954361426E-2</v>
      </c>
      <c r="P17" s="3"/>
    </row>
    <row r="18" spans="1:16" ht="15">
      <c r="A18" s="2" t="s">
        <v>36</v>
      </c>
      <c r="B18" s="51">
        <v>77</v>
      </c>
      <c r="C18" s="51">
        <v>88</v>
      </c>
      <c r="D18" s="51">
        <v>96</v>
      </c>
      <c r="E18" s="51">
        <v>125</v>
      </c>
      <c r="F18" s="51">
        <v>115</v>
      </c>
      <c r="G18" s="51">
        <v>107</v>
      </c>
      <c r="H18" s="51">
        <v>166</v>
      </c>
      <c r="I18" s="51">
        <v>325</v>
      </c>
      <c r="J18" s="51">
        <v>352</v>
      </c>
      <c r="K18" s="51">
        <v>379</v>
      </c>
      <c r="L18" s="52">
        <v>460</v>
      </c>
      <c r="M18" s="53">
        <f t="shared" si="0"/>
        <v>4.9740259740259738</v>
      </c>
      <c r="N18" s="53">
        <f t="shared" si="1"/>
        <v>0.21372031662269128</v>
      </c>
      <c r="O18" s="53">
        <f t="shared" si="2"/>
        <v>3.2990654205607477</v>
      </c>
      <c r="P18" s="3"/>
    </row>
    <row r="19" spans="1:16" ht="15">
      <c r="A19" s="2" t="s">
        <v>37</v>
      </c>
      <c r="B19" s="51">
        <v>91</v>
      </c>
      <c r="C19" s="51">
        <v>106</v>
      </c>
      <c r="D19" s="51">
        <v>115</v>
      </c>
      <c r="E19" s="51">
        <v>46</v>
      </c>
      <c r="F19" s="51">
        <v>138</v>
      </c>
      <c r="G19" s="51">
        <v>127</v>
      </c>
      <c r="H19" s="51">
        <v>138</v>
      </c>
      <c r="I19" s="51">
        <v>92</v>
      </c>
      <c r="J19" s="51">
        <v>104</v>
      </c>
      <c r="K19" s="51">
        <v>121</v>
      </c>
      <c r="L19" s="52">
        <v>122</v>
      </c>
      <c r="M19" s="53">
        <f t="shared" si="0"/>
        <v>0.34065934065934067</v>
      </c>
      <c r="N19" s="53">
        <f t="shared" si="1"/>
        <v>8.2644628099173556E-3</v>
      </c>
      <c r="O19" s="53">
        <f t="shared" si="2"/>
        <v>-3.937007874015748E-2</v>
      </c>
      <c r="P19" s="3"/>
    </row>
    <row r="20" spans="1:16" ht="15">
      <c r="A20" s="2" t="s">
        <v>38</v>
      </c>
      <c r="B20" s="51">
        <v>715</v>
      </c>
      <c r="C20" s="51">
        <v>1018</v>
      </c>
      <c r="D20" s="51">
        <v>1111</v>
      </c>
      <c r="E20" s="51">
        <v>1255</v>
      </c>
      <c r="F20" s="51">
        <v>1506</v>
      </c>
      <c r="G20" s="51">
        <v>1688</v>
      </c>
      <c r="H20" s="51">
        <v>1928</v>
      </c>
      <c r="I20" s="51">
        <v>1640</v>
      </c>
      <c r="J20" s="51">
        <v>1569</v>
      </c>
      <c r="K20" s="51">
        <v>1883</v>
      </c>
      <c r="L20" s="52">
        <v>2750</v>
      </c>
      <c r="M20" s="53">
        <f t="shared" si="0"/>
        <v>2.8461538461538463</v>
      </c>
      <c r="N20" s="53">
        <f t="shared" si="1"/>
        <v>0.46043547530536377</v>
      </c>
      <c r="O20" s="53">
        <f t="shared" si="2"/>
        <v>0.62914691943127965</v>
      </c>
      <c r="P20" s="3"/>
    </row>
    <row r="21" spans="1:16" ht="15">
      <c r="A21" s="2" t="s">
        <v>39</v>
      </c>
      <c r="B21" s="51">
        <v>292</v>
      </c>
      <c r="C21" s="51">
        <v>351</v>
      </c>
      <c r="D21" s="51">
        <v>507</v>
      </c>
      <c r="E21" s="51">
        <v>838</v>
      </c>
      <c r="F21" s="51">
        <v>1067</v>
      </c>
      <c r="G21" s="51">
        <v>1355</v>
      </c>
      <c r="H21" s="51">
        <v>1457</v>
      </c>
      <c r="I21" s="51">
        <v>1150</v>
      </c>
      <c r="J21" s="51">
        <v>1579</v>
      </c>
      <c r="K21" s="51">
        <v>1780</v>
      </c>
      <c r="L21" s="52">
        <v>2013</v>
      </c>
      <c r="M21" s="53">
        <f t="shared" si="0"/>
        <v>5.8938356164383565</v>
      </c>
      <c r="N21" s="53">
        <f t="shared" si="1"/>
        <v>0.13089887640449438</v>
      </c>
      <c r="O21" s="53">
        <f t="shared" si="2"/>
        <v>0.48560885608856086</v>
      </c>
      <c r="P21" s="3"/>
    </row>
    <row r="22" spans="1:16" ht="15">
      <c r="A22" s="2" t="s">
        <v>40</v>
      </c>
      <c r="B22" s="51">
        <v>136</v>
      </c>
      <c r="C22" s="51">
        <v>40</v>
      </c>
      <c r="D22" s="51">
        <v>78</v>
      </c>
      <c r="E22" s="51">
        <v>98</v>
      </c>
      <c r="F22" s="51">
        <v>86</v>
      </c>
      <c r="G22" s="51">
        <v>118</v>
      </c>
      <c r="H22" s="51">
        <v>102</v>
      </c>
      <c r="I22" s="51">
        <v>57</v>
      </c>
      <c r="J22" s="51">
        <v>85</v>
      </c>
      <c r="K22" s="51">
        <v>93</v>
      </c>
      <c r="L22" s="52">
        <v>150</v>
      </c>
      <c r="M22" s="53">
        <f t="shared" si="0"/>
        <v>0.10294117647058823</v>
      </c>
      <c r="N22" s="53">
        <f t="shared" si="1"/>
        <v>0.61290322580645162</v>
      </c>
      <c r="O22" s="53">
        <f t="shared" si="2"/>
        <v>0.2711864406779661</v>
      </c>
      <c r="P22" s="3"/>
    </row>
    <row r="23" spans="1:16" ht="15">
      <c r="A23" s="2" t="s">
        <v>41</v>
      </c>
      <c r="B23" s="51">
        <v>499</v>
      </c>
      <c r="C23" s="51">
        <v>634</v>
      </c>
      <c r="D23" s="51">
        <v>604</v>
      </c>
      <c r="E23" s="51">
        <v>794</v>
      </c>
      <c r="F23" s="51">
        <v>1120</v>
      </c>
      <c r="G23" s="51">
        <v>1272</v>
      </c>
      <c r="H23" s="51">
        <v>1454</v>
      </c>
      <c r="I23" s="51">
        <v>1205</v>
      </c>
      <c r="J23" s="51">
        <v>1535</v>
      </c>
      <c r="K23" s="51">
        <v>2073</v>
      </c>
      <c r="L23" s="52">
        <v>3029</v>
      </c>
      <c r="M23" s="53">
        <f t="shared" si="0"/>
        <v>5.0701402805611222</v>
      </c>
      <c r="N23" s="53">
        <f t="shared" si="1"/>
        <v>0.46116739025566811</v>
      </c>
      <c r="O23" s="53">
        <f t="shared" si="2"/>
        <v>1.3812893081761006</v>
      </c>
      <c r="P23" s="3"/>
    </row>
    <row r="24" spans="1:16" ht="15">
      <c r="A24" s="2" t="s">
        <v>42</v>
      </c>
      <c r="B24" s="51">
        <v>86</v>
      </c>
      <c r="C24" s="51">
        <v>75</v>
      </c>
      <c r="D24" s="51">
        <v>54</v>
      </c>
      <c r="E24" s="51">
        <v>57</v>
      </c>
      <c r="F24" s="51">
        <v>70</v>
      </c>
      <c r="G24" s="51">
        <v>85</v>
      </c>
      <c r="H24" s="51">
        <v>71</v>
      </c>
      <c r="I24" s="51">
        <v>65</v>
      </c>
      <c r="J24" s="51">
        <v>74</v>
      </c>
      <c r="K24" s="51">
        <v>89</v>
      </c>
      <c r="L24" s="52">
        <v>120</v>
      </c>
      <c r="M24" s="53">
        <f t="shared" si="0"/>
        <v>0.39534883720930231</v>
      </c>
      <c r="N24" s="53">
        <f t="shared" si="1"/>
        <v>0.34831460674157305</v>
      </c>
      <c r="O24" s="53">
        <f t="shared" si="2"/>
        <v>0.41176470588235292</v>
      </c>
      <c r="P24" s="3"/>
    </row>
    <row r="25" spans="1:16" ht="15">
      <c r="A25" s="2" t="s">
        <v>43</v>
      </c>
      <c r="B25" s="51">
        <v>917</v>
      </c>
      <c r="C25" s="51">
        <v>929</v>
      </c>
      <c r="D25" s="51">
        <v>1088</v>
      </c>
      <c r="E25" s="51">
        <v>1069</v>
      </c>
      <c r="F25" s="51">
        <v>1118</v>
      </c>
      <c r="G25" s="51">
        <v>1500</v>
      </c>
      <c r="H25" s="51">
        <v>1594</v>
      </c>
      <c r="I25" s="51">
        <v>1168</v>
      </c>
      <c r="J25" s="51">
        <v>1151</v>
      </c>
      <c r="K25" s="51">
        <v>1352</v>
      </c>
      <c r="L25" s="52">
        <v>1833</v>
      </c>
      <c r="M25" s="53">
        <f t="shared" si="0"/>
        <v>0.99890948745910579</v>
      </c>
      <c r="N25" s="53">
        <f t="shared" si="1"/>
        <v>0.35576923076923078</v>
      </c>
      <c r="O25" s="53">
        <f t="shared" si="2"/>
        <v>0.222</v>
      </c>
      <c r="P25" s="3"/>
    </row>
    <row r="26" spans="1:16" ht="15">
      <c r="A26" s="2" t="s">
        <v>44</v>
      </c>
      <c r="B26" s="51">
        <v>9</v>
      </c>
      <c r="C26" s="51">
        <v>22</v>
      </c>
      <c r="D26" s="51">
        <v>16</v>
      </c>
      <c r="E26" s="51">
        <v>26</v>
      </c>
      <c r="F26" s="51">
        <v>28</v>
      </c>
      <c r="G26" s="51">
        <v>28</v>
      </c>
      <c r="H26" s="51">
        <v>23</v>
      </c>
      <c r="I26" s="51">
        <v>30</v>
      </c>
      <c r="J26" s="51">
        <v>32</v>
      </c>
      <c r="K26" s="51">
        <v>43</v>
      </c>
      <c r="L26" s="52">
        <v>96</v>
      </c>
      <c r="M26" s="53">
        <f t="shared" si="0"/>
        <v>9.6666666666666661</v>
      </c>
      <c r="N26" s="53">
        <f t="shared" si="1"/>
        <v>1.2325581395348837</v>
      </c>
      <c r="O26" s="53">
        <f t="shared" si="2"/>
        <v>2.4285714285714284</v>
      </c>
      <c r="P26" s="3"/>
    </row>
    <row r="27" spans="1:16" ht="15">
      <c r="A27" s="2" t="s">
        <v>45</v>
      </c>
      <c r="B27" s="51">
        <v>19</v>
      </c>
      <c r="C27" s="51">
        <v>29</v>
      </c>
      <c r="D27" s="51">
        <v>8</v>
      </c>
      <c r="E27" s="51">
        <v>23</v>
      </c>
      <c r="F27" s="51">
        <v>34</v>
      </c>
      <c r="G27" s="51">
        <v>30</v>
      </c>
      <c r="H27" s="51">
        <v>46</v>
      </c>
      <c r="I27" s="51">
        <v>22</v>
      </c>
      <c r="J27" s="51">
        <v>20</v>
      </c>
      <c r="K27" s="51">
        <v>54</v>
      </c>
      <c r="L27" s="52">
        <v>60</v>
      </c>
      <c r="M27" s="53">
        <f t="shared" si="0"/>
        <v>2.1578947368421053</v>
      </c>
      <c r="N27" s="53">
        <f t="shared" si="1"/>
        <v>0.1111111111111111</v>
      </c>
      <c r="O27" s="53">
        <f t="shared" si="2"/>
        <v>1</v>
      </c>
      <c r="P27" s="3"/>
    </row>
    <row r="28" spans="1:16" ht="15">
      <c r="A28" s="2" t="s">
        <v>46</v>
      </c>
      <c r="B28" s="51">
        <v>378</v>
      </c>
      <c r="C28" s="51">
        <v>443</v>
      </c>
      <c r="D28" s="51">
        <v>456</v>
      </c>
      <c r="E28" s="51">
        <v>481</v>
      </c>
      <c r="F28" s="51">
        <v>495</v>
      </c>
      <c r="G28" s="51">
        <v>545</v>
      </c>
      <c r="H28" s="51">
        <v>547</v>
      </c>
      <c r="I28" s="51">
        <v>413</v>
      </c>
      <c r="J28" s="51">
        <v>517</v>
      </c>
      <c r="K28" s="51">
        <v>557</v>
      </c>
      <c r="L28" s="52">
        <v>813</v>
      </c>
      <c r="M28" s="53">
        <f t="shared" si="0"/>
        <v>1.1507936507936507</v>
      </c>
      <c r="N28" s="53">
        <f t="shared" si="1"/>
        <v>0.45960502692998206</v>
      </c>
      <c r="O28" s="53">
        <f t="shared" si="2"/>
        <v>0.49174311926605507</v>
      </c>
      <c r="P28" s="3"/>
    </row>
    <row r="29" spans="1:16" ht="15">
      <c r="A29" s="2" t="s">
        <v>47</v>
      </c>
      <c r="B29" s="51">
        <v>1635</v>
      </c>
      <c r="C29" s="51">
        <v>1538</v>
      </c>
      <c r="D29" s="51">
        <v>2127</v>
      </c>
      <c r="E29" s="51">
        <v>2781</v>
      </c>
      <c r="F29" s="51">
        <v>3431</v>
      </c>
      <c r="G29" s="51">
        <v>3653</v>
      </c>
      <c r="H29" s="51">
        <v>3962</v>
      </c>
      <c r="I29" s="51">
        <v>3534</v>
      </c>
      <c r="J29" s="51">
        <v>4447</v>
      </c>
      <c r="K29" s="51">
        <v>5139</v>
      </c>
      <c r="L29" s="52">
        <v>7194</v>
      </c>
      <c r="M29" s="53">
        <f t="shared" si="0"/>
        <v>3.4</v>
      </c>
      <c r="N29" s="53">
        <f t="shared" si="1"/>
        <v>0.3998832457676591</v>
      </c>
      <c r="O29" s="53">
        <f t="shared" si="2"/>
        <v>0.96934026827265263</v>
      </c>
      <c r="P29" s="3"/>
    </row>
    <row r="30" spans="1:16" ht="15">
      <c r="A30" s="2" t="s">
        <v>48</v>
      </c>
      <c r="B30" s="51">
        <v>57</v>
      </c>
      <c r="C30" s="51">
        <v>48</v>
      </c>
      <c r="D30" s="51">
        <v>46</v>
      </c>
      <c r="E30" s="51">
        <v>24</v>
      </c>
      <c r="F30" s="51">
        <v>40</v>
      </c>
      <c r="G30" s="51">
        <v>73</v>
      </c>
      <c r="H30" s="51">
        <v>57</v>
      </c>
      <c r="I30" s="51">
        <v>59</v>
      </c>
      <c r="J30" s="51">
        <v>78</v>
      </c>
      <c r="K30" s="51">
        <v>97</v>
      </c>
      <c r="L30" s="52">
        <v>131</v>
      </c>
      <c r="M30" s="53">
        <f t="shared" si="0"/>
        <v>1.2982456140350878</v>
      </c>
      <c r="N30" s="53">
        <f t="shared" si="1"/>
        <v>0.35051546391752575</v>
      </c>
      <c r="O30" s="53">
        <f t="shared" si="2"/>
        <v>0.79452054794520544</v>
      </c>
      <c r="P30" s="3"/>
    </row>
    <row r="31" spans="1:16" ht="15">
      <c r="A31" s="31" t="s">
        <v>49</v>
      </c>
      <c r="B31" s="54">
        <v>60</v>
      </c>
      <c r="C31" s="54">
        <v>90</v>
      </c>
      <c r="D31" s="54">
        <v>131</v>
      </c>
      <c r="E31" s="54">
        <v>280</v>
      </c>
      <c r="F31" s="54">
        <v>167</v>
      </c>
      <c r="G31" s="54">
        <v>194</v>
      </c>
      <c r="H31" s="54">
        <v>110</v>
      </c>
      <c r="I31" s="54">
        <v>88</v>
      </c>
      <c r="J31" s="54">
        <v>102</v>
      </c>
      <c r="K31" s="54">
        <v>164</v>
      </c>
      <c r="L31" s="55">
        <v>521</v>
      </c>
      <c r="M31" s="56">
        <f t="shared" si="0"/>
        <v>7.6833333333333336</v>
      </c>
      <c r="N31" s="56">
        <f t="shared" si="1"/>
        <v>2.1768292682926829</v>
      </c>
      <c r="O31" s="56">
        <f t="shared" si="2"/>
        <v>1.6855670103092784</v>
      </c>
      <c r="P31" s="3"/>
    </row>
    <row r="32" spans="1:16" ht="15">
      <c r="A32" s="57" t="s">
        <v>53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3"/>
    </row>
    <row r="33" spans="1:16">
      <c r="A33" s="59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>
      <c r="A34" s="4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>
      <c r="A35" s="60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ht="15">
      <c r="A36" s="10" t="s">
        <v>54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</row>
    <row r="37" spans="1:16" ht="15">
      <c r="A37" s="44"/>
      <c r="B37" s="104" t="s">
        <v>55</v>
      </c>
      <c r="C37" s="104"/>
      <c r="D37" s="104"/>
      <c r="E37" s="104"/>
      <c r="F37" s="104"/>
      <c r="G37" s="104"/>
      <c r="H37" s="104"/>
      <c r="I37" s="104"/>
      <c r="J37" s="104"/>
      <c r="K37" s="104"/>
      <c r="L37" s="105"/>
      <c r="M37" s="106" t="s">
        <v>2</v>
      </c>
      <c r="N37" s="107"/>
      <c r="O37" s="107"/>
      <c r="P37" s="3"/>
    </row>
    <row r="38" spans="1:16">
      <c r="A38" s="46"/>
      <c r="B38" s="46">
        <v>2013</v>
      </c>
      <c r="C38" s="46">
        <v>2014</v>
      </c>
      <c r="D38" s="46">
        <v>2015</v>
      </c>
      <c r="E38" s="46">
        <v>2016</v>
      </c>
      <c r="F38" s="46">
        <v>2017</v>
      </c>
      <c r="G38" s="46">
        <v>2018</v>
      </c>
      <c r="H38" s="46">
        <v>2019</v>
      </c>
      <c r="I38" s="46">
        <v>2020</v>
      </c>
      <c r="J38" s="46">
        <v>2021</v>
      </c>
      <c r="K38" s="46">
        <v>2022</v>
      </c>
      <c r="L38" s="45">
        <v>2023</v>
      </c>
      <c r="M38" s="46" t="s">
        <v>3</v>
      </c>
      <c r="N38" s="46" t="s">
        <v>4</v>
      </c>
      <c r="O38" s="46" t="s">
        <v>5</v>
      </c>
      <c r="P38" s="3"/>
    </row>
    <row r="39" spans="1:16">
      <c r="A39" s="47" t="s">
        <v>22</v>
      </c>
      <c r="B39" s="61">
        <v>35.299999999999997</v>
      </c>
      <c r="C39" s="61">
        <v>38.299999999999997</v>
      </c>
      <c r="D39" s="61">
        <v>43.4</v>
      </c>
      <c r="E39" s="61">
        <v>48.7</v>
      </c>
      <c r="F39" s="61">
        <v>55.2</v>
      </c>
      <c r="G39" s="61">
        <v>60.1</v>
      </c>
      <c r="H39" s="61">
        <v>61.3</v>
      </c>
      <c r="I39" s="61">
        <v>48.5</v>
      </c>
      <c r="J39" s="61">
        <v>53.2</v>
      </c>
      <c r="K39" s="61">
        <v>62.4</v>
      </c>
      <c r="L39" s="62">
        <v>85.5</v>
      </c>
      <c r="M39" s="50">
        <f t="shared" ref="M39:M66" si="3">(L39-B39)/B39</f>
        <v>1.4220963172804535</v>
      </c>
      <c r="N39" s="50">
        <f t="shared" ref="N39:N66" si="4">(L39-K39)/K39</f>
        <v>0.37019230769230771</v>
      </c>
      <c r="O39" s="50">
        <f t="shared" ref="O39:O66" si="5">(L39-G39)/G39</f>
        <v>0.42262895174708814</v>
      </c>
      <c r="P39" s="3"/>
    </row>
    <row r="40" spans="1:16" ht="15">
      <c r="A40" s="2" t="s">
        <v>23</v>
      </c>
      <c r="B40" s="37">
        <v>51.7</v>
      </c>
      <c r="C40" s="37">
        <v>22.6</v>
      </c>
      <c r="D40" s="37">
        <v>44</v>
      </c>
      <c r="E40" s="37">
        <v>46.1</v>
      </c>
      <c r="F40" s="37">
        <v>54.4</v>
      </c>
      <c r="G40" s="37">
        <v>42.5</v>
      </c>
      <c r="H40" s="37">
        <v>43.9</v>
      </c>
      <c r="I40" s="37">
        <v>33.799999999999997</v>
      </c>
      <c r="J40" s="37">
        <v>43.4</v>
      </c>
      <c r="K40" s="37">
        <v>52.3</v>
      </c>
      <c r="L40" s="63">
        <v>47.4</v>
      </c>
      <c r="M40" s="53">
        <f t="shared" si="3"/>
        <v>-8.3172147001934316E-2</v>
      </c>
      <c r="N40" s="53">
        <f t="shared" si="4"/>
        <v>-9.3690248565965556E-2</v>
      </c>
      <c r="O40" s="53">
        <f t="shared" si="5"/>
        <v>0.1152941176470588</v>
      </c>
      <c r="P40" s="3"/>
    </row>
    <row r="41" spans="1:16" ht="15">
      <c r="A41" s="2" t="s">
        <v>24</v>
      </c>
      <c r="B41" s="37">
        <v>10.8</v>
      </c>
      <c r="C41" s="37">
        <v>17.2</v>
      </c>
      <c r="D41" s="37">
        <v>24.2</v>
      </c>
      <c r="E41" s="37">
        <v>26.1</v>
      </c>
      <c r="F41" s="37">
        <v>31.8</v>
      </c>
      <c r="G41" s="37">
        <v>30.3</v>
      </c>
      <c r="H41" s="37">
        <v>22.9</v>
      </c>
      <c r="I41" s="37">
        <v>18.3</v>
      </c>
      <c r="J41" s="37">
        <v>21.6</v>
      </c>
      <c r="K41" s="37">
        <v>31.2</v>
      </c>
      <c r="L41" s="63">
        <v>41.3</v>
      </c>
      <c r="M41" s="53">
        <f t="shared" si="3"/>
        <v>2.8240740740740735</v>
      </c>
      <c r="N41" s="53">
        <f t="shared" si="4"/>
        <v>0.32371794871794868</v>
      </c>
      <c r="O41" s="53">
        <f t="shared" si="5"/>
        <v>0.36303630363036293</v>
      </c>
      <c r="P41" s="3"/>
    </row>
    <row r="42" spans="1:16" ht="15">
      <c r="A42" s="2" t="s">
        <v>25</v>
      </c>
      <c r="B42" s="37">
        <v>7.1</v>
      </c>
      <c r="C42" s="37">
        <v>11.1</v>
      </c>
      <c r="D42" s="37">
        <v>4.0999999999999996</v>
      </c>
      <c r="E42" s="37">
        <v>26.7</v>
      </c>
      <c r="F42" s="37">
        <v>27.1</v>
      </c>
      <c r="G42" s="37">
        <v>18.2</v>
      </c>
      <c r="H42" s="37">
        <v>34.299999999999997</v>
      </c>
      <c r="I42" s="37">
        <v>8.6999999999999993</v>
      </c>
      <c r="J42" s="37">
        <v>5.5</v>
      </c>
      <c r="K42" s="37">
        <v>12.7</v>
      </c>
      <c r="L42" s="63">
        <v>17.7</v>
      </c>
      <c r="M42" s="53">
        <f t="shared" si="3"/>
        <v>1.4929577464788732</v>
      </c>
      <c r="N42" s="53">
        <f t="shared" si="4"/>
        <v>0.39370078740157483</v>
      </c>
      <c r="O42" s="53">
        <f t="shared" si="5"/>
        <v>-2.7472527472527472E-2</v>
      </c>
      <c r="P42" s="3"/>
    </row>
    <row r="43" spans="1:16" ht="15">
      <c r="A43" s="2" t="s">
        <v>26</v>
      </c>
      <c r="B43" s="37">
        <v>39</v>
      </c>
      <c r="C43" s="37">
        <v>23.9</v>
      </c>
      <c r="D43" s="37">
        <v>26.5</v>
      </c>
      <c r="E43" s="37">
        <v>26.6</v>
      </c>
      <c r="F43" s="37">
        <v>34</v>
      </c>
      <c r="G43" s="37">
        <v>37.6</v>
      </c>
      <c r="H43" s="37">
        <v>49.8</v>
      </c>
      <c r="I43" s="37">
        <v>38.299999999999997</v>
      </c>
      <c r="J43" s="37">
        <v>45.4</v>
      </c>
      <c r="K43" s="37">
        <v>59.4</v>
      </c>
      <c r="L43" s="63">
        <v>80.599999999999994</v>
      </c>
      <c r="M43" s="53">
        <f t="shared" si="3"/>
        <v>1.0666666666666664</v>
      </c>
      <c r="N43" s="53">
        <f t="shared" si="4"/>
        <v>0.35690235690235683</v>
      </c>
      <c r="O43" s="53">
        <f t="shared" si="5"/>
        <v>1.1436170212765955</v>
      </c>
      <c r="P43" s="3"/>
    </row>
    <row r="44" spans="1:16" ht="15">
      <c r="A44" s="2" t="s">
        <v>27</v>
      </c>
      <c r="B44" s="37">
        <v>14.4</v>
      </c>
      <c r="C44" s="37">
        <v>14.4</v>
      </c>
      <c r="D44" s="37">
        <v>14</v>
      </c>
      <c r="E44" s="37">
        <v>19.2</v>
      </c>
      <c r="F44" s="37">
        <v>25.6</v>
      </c>
      <c r="G44" s="37">
        <v>29.7</v>
      </c>
      <c r="H44" s="37">
        <v>33.700000000000003</v>
      </c>
      <c r="I44" s="37">
        <v>27.8</v>
      </c>
      <c r="J44" s="37">
        <v>29.2</v>
      </c>
      <c r="K44" s="37">
        <v>30.6</v>
      </c>
      <c r="L44" s="63">
        <v>40.6</v>
      </c>
      <c r="M44" s="53">
        <f t="shared" si="3"/>
        <v>1.8194444444444446</v>
      </c>
      <c r="N44" s="53">
        <f t="shared" si="4"/>
        <v>0.32679738562091504</v>
      </c>
      <c r="O44" s="53">
        <f t="shared" si="5"/>
        <v>0.36700336700336711</v>
      </c>
      <c r="P44" s="3"/>
    </row>
    <row r="45" spans="1:16" ht="15">
      <c r="A45" s="2" t="s">
        <v>28</v>
      </c>
      <c r="B45" s="37">
        <v>10</v>
      </c>
      <c r="C45" s="37">
        <v>15.7</v>
      </c>
      <c r="D45" s="37">
        <v>21.8</v>
      </c>
      <c r="E45" s="37">
        <v>38.4</v>
      </c>
      <c r="F45" s="37">
        <v>45.4</v>
      </c>
      <c r="G45" s="37">
        <v>56.1</v>
      </c>
      <c r="H45" s="37">
        <v>45.5</v>
      </c>
      <c r="I45" s="37">
        <v>36.1</v>
      </c>
      <c r="J45" s="37">
        <v>40.200000000000003</v>
      </c>
      <c r="K45" s="37">
        <v>87.7</v>
      </c>
      <c r="L45" s="63">
        <v>143</v>
      </c>
      <c r="M45" s="53">
        <f t="shared" si="3"/>
        <v>13.3</v>
      </c>
      <c r="N45" s="53">
        <f t="shared" si="4"/>
        <v>0.63055872291904214</v>
      </c>
      <c r="O45" s="53">
        <f t="shared" si="5"/>
        <v>1.5490196078431373</v>
      </c>
      <c r="P45" s="3"/>
    </row>
    <row r="46" spans="1:16" ht="15">
      <c r="A46" s="2" t="s">
        <v>29</v>
      </c>
      <c r="B46" s="37">
        <v>48.8</v>
      </c>
      <c r="C46" s="37">
        <v>32.700000000000003</v>
      </c>
      <c r="D46" s="37">
        <v>24.9</v>
      </c>
      <c r="E46" s="37">
        <v>28.2</v>
      </c>
      <c r="F46" s="37">
        <v>30.5</v>
      </c>
      <c r="G46" s="37">
        <v>29</v>
      </c>
      <c r="H46" s="37">
        <v>27.9</v>
      </c>
      <c r="I46" s="37">
        <v>21</v>
      </c>
      <c r="J46" s="37">
        <v>27</v>
      </c>
      <c r="K46" s="37">
        <v>31.5</v>
      </c>
      <c r="L46" s="63">
        <v>49.7</v>
      </c>
      <c r="M46" s="53">
        <f t="shared" si="3"/>
        <v>1.844262295081979E-2</v>
      </c>
      <c r="N46" s="53">
        <f t="shared" si="4"/>
        <v>0.57777777777777783</v>
      </c>
      <c r="O46" s="53">
        <f t="shared" si="5"/>
        <v>0.71379310344827596</v>
      </c>
      <c r="P46" s="3"/>
    </row>
    <row r="47" spans="1:16" ht="15">
      <c r="A47" s="2" t="s">
        <v>30</v>
      </c>
      <c r="B47" s="37">
        <v>25.3</v>
      </c>
      <c r="C47" s="37">
        <v>48.8</v>
      </c>
      <c r="D47" s="37">
        <v>42.9</v>
      </c>
      <c r="E47" s="37">
        <v>60.1</v>
      </c>
      <c r="F47" s="37">
        <v>72</v>
      </c>
      <c r="G47" s="37">
        <v>73.3</v>
      </c>
      <c r="H47" s="37">
        <v>60</v>
      </c>
      <c r="I47" s="37">
        <v>57.6</v>
      </c>
      <c r="J47" s="37">
        <v>68.599999999999994</v>
      </c>
      <c r="K47" s="37">
        <v>83.7</v>
      </c>
      <c r="L47" s="63">
        <v>118.3</v>
      </c>
      <c r="M47" s="53">
        <f t="shared" si="3"/>
        <v>3.6758893280632412</v>
      </c>
      <c r="N47" s="53">
        <f t="shared" si="4"/>
        <v>0.41338112305854235</v>
      </c>
      <c r="O47" s="53">
        <f t="shared" si="5"/>
        <v>0.61391541609822653</v>
      </c>
      <c r="P47" s="3"/>
    </row>
    <row r="48" spans="1:16" ht="15">
      <c r="A48" s="2" t="s">
        <v>31</v>
      </c>
      <c r="B48" s="37">
        <v>41</v>
      </c>
      <c r="C48" s="37">
        <v>52.4</v>
      </c>
      <c r="D48" s="37">
        <v>43.7</v>
      </c>
      <c r="E48" s="37">
        <v>36.9</v>
      </c>
      <c r="F48" s="37">
        <v>31.6</v>
      </c>
      <c r="G48" s="37">
        <v>39.9</v>
      </c>
      <c r="H48" s="37">
        <v>50</v>
      </c>
      <c r="I48" s="37">
        <v>31.8</v>
      </c>
      <c r="J48" s="37">
        <v>41.2</v>
      </c>
      <c r="K48" s="37">
        <v>52.8</v>
      </c>
      <c r="L48" s="63">
        <v>83.8</v>
      </c>
      <c r="M48" s="53">
        <f t="shared" si="3"/>
        <v>1.0439024390243903</v>
      </c>
      <c r="N48" s="53">
        <f t="shared" si="4"/>
        <v>0.58712121212121215</v>
      </c>
      <c r="O48" s="53">
        <f t="shared" si="5"/>
        <v>1.100250626566416</v>
      </c>
      <c r="P48" s="3"/>
    </row>
    <row r="49" spans="1:16" ht="15">
      <c r="A49" s="2" t="s">
        <v>32</v>
      </c>
      <c r="B49" s="37">
        <v>27</v>
      </c>
      <c r="C49" s="37">
        <v>16.399999999999999</v>
      </c>
      <c r="D49" s="37">
        <v>15</v>
      </c>
      <c r="E49" s="37">
        <v>9.3000000000000007</v>
      </c>
      <c r="F49" s="37">
        <v>11.4</v>
      </c>
      <c r="G49" s="37">
        <v>17.100000000000001</v>
      </c>
      <c r="H49" s="37">
        <v>15.8</v>
      </c>
      <c r="I49" s="37">
        <v>15.4</v>
      </c>
      <c r="J49" s="37">
        <v>16.8</v>
      </c>
      <c r="K49" s="37">
        <v>21.1</v>
      </c>
      <c r="L49" s="63">
        <v>26.3</v>
      </c>
      <c r="M49" s="53">
        <f t="shared" si="3"/>
        <v>-2.5925925925925901E-2</v>
      </c>
      <c r="N49" s="53">
        <f t="shared" si="4"/>
        <v>0.24644549763033172</v>
      </c>
      <c r="O49" s="53">
        <f t="shared" si="5"/>
        <v>0.53801169590643261</v>
      </c>
      <c r="P49" s="3"/>
    </row>
    <row r="50" spans="1:16" ht="15">
      <c r="A50" s="2" t="s">
        <v>33</v>
      </c>
      <c r="B50" s="37">
        <v>18.5</v>
      </c>
      <c r="C50" s="37">
        <v>20.2</v>
      </c>
      <c r="D50" s="37">
        <v>19.2</v>
      </c>
      <c r="E50" s="37">
        <v>23</v>
      </c>
      <c r="F50" s="37">
        <v>24</v>
      </c>
      <c r="G50" s="37">
        <v>24.4</v>
      </c>
      <c r="H50" s="37">
        <v>27.2</v>
      </c>
      <c r="I50" s="37">
        <v>17.899999999999999</v>
      </c>
      <c r="J50" s="37">
        <v>19.600000000000001</v>
      </c>
      <c r="K50" s="37">
        <v>31.6</v>
      </c>
      <c r="L50" s="63">
        <v>36.6</v>
      </c>
      <c r="M50" s="53">
        <f t="shared" si="3"/>
        <v>0.97837837837837849</v>
      </c>
      <c r="N50" s="53">
        <f t="shared" si="4"/>
        <v>0.15822784810126581</v>
      </c>
      <c r="O50" s="53">
        <f t="shared" si="5"/>
        <v>0.50000000000000011</v>
      </c>
      <c r="P50" s="3"/>
    </row>
    <row r="51" spans="1:16" ht="15">
      <c r="A51" s="2" t="s">
        <v>34</v>
      </c>
      <c r="B51" s="37">
        <v>260.7</v>
      </c>
      <c r="C51" s="37">
        <v>222.1</v>
      </c>
      <c r="D51" s="37">
        <v>200.8</v>
      </c>
      <c r="E51" s="37">
        <v>211.4</v>
      </c>
      <c r="F51" s="37">
        <v>216.2</v>
      </c>
      <c r="G51" s="37">
        <v>257.8</v>
      </c>
      <c r="H51" s="37">
        <v>272.89999999999998</v>
      </c>
      <c r="I51" s="37">
        <v>224.5</v>
      </c>
      <c r="J51" s="37">
        <v>228.8</v>
      </c>
      <c r="K51" s="37">
        <v>194.9</v>
      </c>
      <c r="L51" s="63">
        <v>312.89999999999998</v>
      </c>
      <c r="M51" s="53">
        <f t="shared" si="3"/>
        <v>0.20023014959723817</v>
      </c>
      <c r="N51" s="53">
        <f t="shared" si="4"/>
        <v>0.60543868650590027</v>
      </c>
      <c r="O51" s="53">
        <f t="shared" si="5"/>
        <v>0.21373157486423569</v>
      </c>
      <c r="P51" s="3"/>
    </row>
    <row r="52" spans="1:16" ht="15">
      <c r="A52" s="2" t="s">
        <v>35</v>
      </c>
      <c r="B52" s="37">
        <v>55.4</v>
      </c>
      <c r="C52" s="37">
        <v>72.400000000000006</v>
      </c>
      <c r="D52" s="37">
        <v>91.7</v>
      </c>
      <c r="E52" s="37">
        <v>83.9</v>
      </c>
      <c r="F52" s="37">
        <v>92.7</v>
      </c>
      <c r="G52" s="37">
        <v>89.5</v>
      </c>
      <c r="H52" s="37">
        <v>83.7</v>
      </c>
      <c r="I52" s="37">
        <v>54.1</v>
      </c>
      <c r="J52" s="37">
        <v>51.5</v>
      </c>
      <c r="K52" s="37">
        <v>57.8</v>
      </c>
      <c r="L52" s="63">
        <v>73.599999999999994</v>
      </c>
      <c r="M52" s="53">
        <f t="shared" si="3"/>
        <v>0.32851985559566782</v>
      </c>
      <c r="N52" s="53">
        <f t="shared" si="4"/>
        <v>0.27335640138408301</v>
      </c>
      <c r="O52" s="53">
        <f t="shared" si="5"/>
        <v>-0.17765363128491626</v>
      </c>
      <c r="P52" s="3"/>
    </row>
    <row r="53" spans="1:16" ht="15">
      <c r="A53" s="2" t="s">
        <v>36</v>
      </c>
      <c r="B53" s="37">
        <v>12</v>
      </c>
      <c r="C53" s="37">
        <v>13.2</v>
      </c>
      <c r="D53" s="37">
        <v>14.3</v>
      </c>
      <c r="E53" s="37">
        <v>17.5</v>
      </c>
      <c r="F53" s="37">
        <v>15.8</v>
      </c>
      <c r="G53" s="37">
        <v>13.6</v>
      </c>
      <c r="H53" s="37">
        <v>19.399999999999999</v>
      </c>
      <c r="I53" s="37">
        <v>35.5</v>
      </c>
      <c r="J53" s="37">
        <v>40.5</v>
      </c>
      <c r="K53" s="37">
        <v>41.9</v>
      </c>
      <c r="L53" s="63">
        <v>47.3</v>
      </c>
      <c r="M53" s="53">
        <f t="shared" si="3"/>
        <v>2.9416666666666664</v>
      </c>
      <c r="N53" s="53">
        <f t="shared" si="4"/>
        <v>0.12887828162291168</v>
      </c>
      <c r="O53" s="53">
        <f t="shared" si="5"/>
        <v>2.4779411764705879</v>
      </c>
      <c r="P53" s="3"/>
    </row>
    <row r="54" spans="1:16" ht="15">
      <c r="A54" s="2" t="s">
        <v>37</v>
      </c>
      <c r="B54" s="37">
        <v>21.1</v>
      </c>
      <c r="C54" s="37">
        <v>24.4</v>
      </c>
      <c r="D54" s="37">
        <v>25</v>
      </c>
      <c r="E54" s="37">
        <v>9.5</v>
      </c>
      <c r="F54" s="37">
        <v>26.2</v>
      </c>
      <c r="G54" s="37">
        <v>24.4</v>
      </c>
      <c r="H54" s="37">
        <v>26.4</v>
      </c>
      <c r="I54" s="37">
        <v>18.2</v>
      </c>
      <c r="J54" s="37">
        <v>19.100000000000001</v>
      </c>
      <c r="K54" s="37">
        <v>22.1</v>
      </c>
      <c r="L54" s="63">
        <v>20.5</v>
      </c>
      <c r="M54" s="53">
        <f t="shared" si="3"/>
        <v>-2.8436018957346036E-2</v>
      </c>
      <c r="N54" s="53">
        <f t="shared" si="4"/>
        <v>-7.2398190045248931E-2</v>
      </c>
      <c r="O54" s="53">
        <f t="shared" si="5"/>
        <v>-0.15983606557377045</v>
      </c>
      <c r="P54" s="3"/>
    </row>
    <row r="55" spans="1:16" ht="15">
      <c r="A55" s="2" t="s">
        <v>38</v>
      </c>
      <c r="B55" s="37">
        <v>56.1</v>
      </c>
      <c r="C55" s="37">
        <v>77.7</v>
      </c>
      <c r="D55" s="37">
        <v>80.900000000000006</v>
      </c>
      <c r="E55" s="37">
        <v>86.7</v>
      </c>
      <c r="F55" s="37">
        <v>100.1</v>
      </c>
      <c r="G55" s="37">
        <v>109.6</v>
      </c>
      <c r="H55" s="37">
        <v>121.2</v>
      </c>
      <c r="I55" s="37">
        <v>99.9</v>
      </c>
      <c r="J55" s="37">
        <v>94.4</v>
      </c>
      <c r="K55" s="37">
        <v>109.5</v>
      </c>
      <c r="L55" s="63">
        <v>149.69999999999999</v>
      </c>
      <c r="M55" s="53">
        <f t="shared" si="3"/>
        <v>1.6684491978609624</v>
      </c>
      <c r="N55" s="53">
        <f t="shared" si="4"/>
        <v>0.36712328767123276</v>
      </c>
      <c r="O55" s="53">
        <f t="shared" si="5"/>
        <v>0.36587591240875911</v>
      </c>
      <c r="P55" s="3"/>
    </row>
    <row r="56" spans="1:16" ht="15">
      <c r="A56" s="2" t="s">
        <v>39</v>
      </c>
      <c r="B56" s="37">
        <v>27.2</v>
      </c>
      <c r="C56" s="37">
        <v>32.700000000000003</v>
      </c>
      <c r="D56" s="37">
        <v>42.6</v>
      </c>
      <c r="E56" s="37">
        <v>72.099999999999994</v>
      </c>
      <c r="F56" s="37">
        <v>86.1</v>
      </c>
      <c r="G56" s="37">
        <v>116</v>
      </c>
      <c r="H56" s="37">
        <v>108.7</v>
      </c>
      <c r="I56" s="37">
        <v>87.6</v>
      </c>
      <c r="J56" s="37">
        <v>132.1</v>
      </c>
      <c r="K56" s="37">
        <v>126.6</v>
      </c>
      <c r="L56" s="63">
        <v>142.80000000000001</v>
      </c>
      <c r="M56" s="53">
        <f t="shared" si="3"/>
        <v>4.25</v>
      </c>
      <c r="N56" s="53">
        <f t="shared" si="4"/>
        <v>0.127962085308057</v>
      </c>
      <c r="O56" s="53">
        <f t="shared" si="5"/>
        <v>0.23103448275862079</v>
      </c>
      <c r="P56" s="3"/>
    </row>
    <row r="57" spans="1:16" ht="15">
      <c r="A57" s="2" t="s">
        <v>40</v>
      </c>
      <c r="B57" s="37">
        <v>37.5</v>
      </c>
      <c r="C57" s="37">
        <v>10.8</v>
      </c>
      <c r="D57" s="37">
        <v>20.2</v>
      </c>
      <c r="E57" s="37">
        <v>25.2</v>
      </c>
      <c r="F57" s="37">
        <v>20.8</v>
      </c>
      <c r="G57" s="37">
        <v>27.5</v>
      </c>
      <c r="H57" s="37">
        <v>22.2</v>
      </c>
      <c r="I57" s="37">
        <v>12</v>
      </c>
      <c r="J57" s="37">
        <v>17.8</v>
      </c>
      <c r="K57" s="37">
        <v>20.3</v>
      </c>
      <c r="L57" s="63">
        <v>30.7</v>
      </c>
      <c r="M57" s="53">
        <f t="shared" si="3"/>
        <v>-0.18133333333333335</v>
      </c>
      <c r="N57" s="53">
        <f t="shared" si="4"/>
        <v>0.51231527093596052</v>
      </c>
      <c r="O57" s="53">
        <f t="shared" si="5"/>
        <v>0.11636363636363634</v>
      </c>
      <c r="P57" s="3"/>
    </row>
    <row r="58" spans="1:16" ht="15">
      <c r="A58" s="2" t="s">
        <v>41</v>
      </c>
      <c r="B58" s="37">
        <v>20.8</v>
      </c>
      <c r="C58" s="37">
        <v>24.6</v>
      </c>
      <c r="D58" s="37">
        <v>22.7</v>
      </c>
      <c r="E58" s="37">
        <v>28.1</v>
      </c>
      <c r="F58" s="37">
        <v>39.299999999999997</v>
      </c>
      <c r="G58" s="37">
        <v>43.6</v>
      </c>
      <c r="H58" s="37">
        <v>46.2</v>
      </c>
      <c r="I58" s="37">
        <v>37.200000000000003</v>
      </c>
      <c r="J58" s="37">
        <v>46.1</v>
      </c>
      <c r="K58" s="37">
        <v>61</v>
      </c>
      <c r="L58" s="63">
        <v>89.2</v>
      </c>
      <c r="M58" s="53">
        <f t="shared" si="3"/>
        <v>3.2884615384615388</v>
      </c>
      <c r="N58" s="53">
        <f t="shared" si="4"/>
        <v>0.46229508196721314</v>
      </c>
      <c r="O58" s="53">
        <f t="shared" si="5"/>
        <v>1.0458715596330275</v>
      </c>
      <c r="P58" s="3"/>
    </row>
    <row r="59" spans="1:16" ht="15">
      <c r="A59" s="2" t="s">
        <v>42</v>
      </c>
      <c r="B59" s="37">
        <v>24.8</v>
      </c>
      <c r="C59" s="37">
        <v>21.1</v>
      </c>
      <c r="D59" s="37">
        <v>14.6</v>
      </c>
      <c r="E59" s="37">
        <v>13.6</v>
      </c>
      <c r="F59" s="37">
        <v>16.5</v>
      </c>
      <c r="G59" s="37">
        <v>18.8</v>
      </c>
      <c r="H59" s="37">
        <v>15.3</v>
      </c>
      <c r="I59" s="37">
        <v>13.4</v>
      </c>
      <c r="J59" s="37">
        <v>15</v>
      </c>
      <c r="K59" s="37">
        <v>16.2</v>
      </c>
      <c r="L59" s="63">
        <v>21.5</v>
      </c>
      <c r="M59" s="53">
        <f t="shared" si="3"/>
        <v>-0.13306451612903228</v>
      </c>
      <c r="N59" s="53">
        <f t="shared" si="4"/>
        <v>0.32716049382716056</v>
      </c>
      <c r="O59" s="53">
        <f t="shared" si="5"/>
        <v>0.1436170212765957</v>
      </c>
      <c r="P59" s="3"/>
    </row>
    <row r="60" spans="1:16" ht="15">
      <c r="A60" s="2" t="s">
        <v>43</v>
      </c>
      <c r="B60" s="37">
        <v>59.1</v>
      </c>
      <c r="C60" s="37">
        <v>56.8</v>
      </c>
      <c r="D60" s="37">
        <v>65.3</v>
      </c>
      <c r="E60" s="37">
        <v>60.8</v>
      </c>
      <c r="F60" s="37">
        <v>59.8</v>
      </c>
      <c r="G60" s="37">
        <v>80.2</v>
      </c>
      <c r="H60" s="37">
        <v>80.099999999999994</v>
      </c>
      <c r="I60" s="37">
        <v>56.5</v>
      </c>
      <c r="J60" s="37">
        <v>54.2</v>
      </c>
      <c r="K60" s="37">
        <v>60.5</v>
      </c>
      <c r="L60" s="63">
        <v>83.2</v>
      </c>
      <c r="M60" s="53">
        <f t="shared" si="3"/>
        <v>0.40778341793570222</v>
      </c>
      <c r="N60" s="53">
        <f t="shared" si="4"/>
        <v>0.37520661157024798</v>
      </c>
      <c r="O60" s="53">
        <f t="shared" si="5"/>
        <v>3.7406483790523692E-2</v>
      </c>
      <c r="P60" s="3"/>
    </row>
    <row r="61" spans="1:16" ht="15">
      <c r="A61" s="2" t="s">
        <v>44</v>
      </c>
      <c r="B61" s="37">
        <v>7.8</v>
      </c>
      <c r="C61" s="37">
        <v>15.8</v>
      </c>
      <c r="D61" s="37">
        <v>12</v>
      </c>
      <c r="E61" s="37">
        <v>18</v>
      </c>
      <c r="F61" s="37">
        <v>16.8</v>
      </c>
      <c r="G61" s="37">
        <v>15.8</v>
      </c>
      <c r="H61" s="37">
        <v>12.5</v>
      </c>
      <c r="I61" s="37">
        <v>16</v>
      </c>
      <c r="J61" s="37">
        <v>16</v>
      </c>
      <c r="K61" s="37">
        <v>18.8</v>
      </c>
      <c r="L61" s="63">
        <v>35.700000000000003</v>
      </c>
      <c r="M61" s="53">
        <f t="shared" si="3"/>
        <v>3.5769230769230771</v>
      </c>
      <c r="N61" s="53">
        <f t="shared" si="4"/>
        <v>0.89893617021276606</v>
      </c>
      <c r="O61" s="53">
        <f t="shared" si="5"/>
        <v>1.259493670886076</v>
      </c>
      <c r="P61" s="3"/>
    </row>
    <row r="62" spans="1:16" ht="15">
      <c r="A62" s="2" t="s">
        <v>45</v>
      </c>
      <c r="B62" s="37">
        <v>92.6</v>
      </c>
      <c r="C62" s="37">
        <v>107.6</v>
      </c>
      <c r="D62" s="37">
        <v>26.2</v>
      </c>
      <c r="E62" s="37">
        <v>69.400000000000006</v>
      </c>
      <c r="F62" s="37">
        <v>99.9</v>
      </c>
      <c r="G62" s="37">
        <v>81.2</v>
      </c>
      <c r="H62" s="37">
        <v>126.2</v>
      </c>
      <c r="I62" s="37">
        <v>53.2</v>
      </c>
      <c r="J62" s="37">
        <v>44.7</v>
      </c>
      <c r="K62" s="37">
        <v>112.9</v>
      </c>
      <c r="L62" s="63">
        <v>120.4</v>
      </c>
      <c r="M62" s="53">
        <f t="shared" si="3"/>
        <v>0.30021598272138245</v>
      </c>
      <c r="N62" s="53">
        <f t="shared" si="4"/>
        <v>6.6430469441984052E-2</v>
      </c>
      <c r="O62" s="53">
        <f t="shared" si="5"/>
        <v>0.48275862068965519</v>
      </c>
      <c r="P62" s="3"/>
    </row>
    <row r="63" spans="1:16" ht="15">
      <c r="A63" s="2" t="s">
        <v>46</v>
      </c>
      <c r="B63" s="37">
        <v>49.4</v>
      </c>
      <c r="C63" s="37">
        <v>53.4</v>
      </c>
      <c r="D63" s="37">
        <v>52.5</v>
      </c>
      <c r="E63" s="37">
        <v>53.6</v>
      </c>
      <c r="F63" s="37">
        <v>52.6</v>
      </c>
      <c r="G63" s="37">
        <v>58</v>
      </c>
      <c r="H63" s="37">
        <v>55.6</v>
      </c>
      <c r="I63" s="37">
        <v>39.200000000000003</v>
      </c>
      <c r="J63" s="37">
        <v>46.3</v>
      </c>
      <c r="K63" s="37">
        <v>51.8</v>
      </c>
      <c r="L63" s="63">
        <v>73.7</v>
      </c>
      <c r="M63" s="53">
        <f t="shared" si="3"/>
        <v>0.49190283400809726</v>
      </c>
      <c r="N63" s="53">
        <f t="shared" si="4"/>
        <v>0.42277992277992293</v>
      </c>
      <c r="O63" s="53">
        <f t="shared" si="5"/>
        <v>0.27068965517241383</v>
      </c>
      <c r="P63" s="3"/>
    </row>
    <row r="64" spans="1:16" ht="15">
      <c r="A64" s="2" t="s">
        <v>47</v>
      </c>
      <c r="B64" s="37">
        <v>28.7</v>
      </c>
      <c r="C64" s="37">
        <v>26.5</v>
      </c>
      <c r="D64" s="37">
        <v>35.4</v>
      </c>
      <c r="E64" s="37">
        <v>45.7</v>
      </c>
      <c r="F64" s="37">
        <v>54.9</v>
      </c>
      <c r="G64" s="37">
        <v>55</v>
      </c>
      <c r="H64" s="37">
        <v>60.7</v>
      </c>
      <c r="I64" s="37">
        <v>52.1</v>
      </c>
      <c r="J64" s="37">
        <v>57.4</v>
      </c>
      <c r="K64" s="37">
        <v>65.2</v>
      </c>
      <c r="L64" s="63">
        <v>86.5</v>
      </c>
      <c r="M64" s="53">
        <f t="shared" si="3"/>
        <v>2.013937282229965</v>
      </c>
      <c r="N64" s="53">
        <f t="shared" si="4"/>
        <v>0.32668711656441712</v>
      </c>
      <c r="O64" s="53">
        <f t="shared" si="5"/>
        <v>0.57272727272727275</v>
      </c>
      <c r="P64" s="3"/>
    </row>
    <row r="65" spans="1:16" ht="15">
      <c r="A65" s="2" t="s">
        <v>48</v>
      </c>
      <c r="B65" s="37">
        <v>28.9</v>
      </c>
      <c r="C65" s="37">
        <v>22.6</v>
      </c>
      <c r="D65" s="37">
        <v>20.7</v>
      </c>
      <c r="E65" s="37">
        <v>9.9</v>
      </c>
      <c r="F65" s="37">
        <v>16.100000000000001</v>
      </c>
      <c r="G65" s="37">
        <v>29.5</v>
      </c>
      <c r="H65" s="37">
        <v>22.9</v>
      </c>
      <c r="I65" s="37">
        <v>24.6</v>
      </c>
      <c r="J65" s="37">
        <v>32.299999999999997</v>
      </c>
      <c r="K65" s="37">
        <v>34.700000000000003</v>
      </c>
      <c r="L65" s="63">
        <v>43</v>
      </c>
      <c r="M65" s="53">
        <f t="shared" si="3"/>
        <v>0.48788927335640148</v>
      </c>
      <c r="N65" s="53">
        <f t="shared" si="4"/>
        <v>0.23919308357348693</v>
      </c>
      <c r="O65" s="53">
        <f t="shared" si="5"/>
        <v>0.4576271186440678</v>
      </c>
      <c r="P65" s="3"/>
    </row>
    <row r="66" spans="1:16" ht="15">
      <c r="A66" s="31" t="s">
        <v>49</v>
      </c>
      <c r="B66" s="42">
        <v>43.2</v>
      </c>
      <c r="C66" s="42">
        <v>71.099999999999994</v>
      </c>
      <c r="D66" s="42">
        <v>89.8</v>
      </c>
      <c r="E66" s="42">
        <v>191.1</v>
      </c>
      <c r="F66" s="42">
        <v>95.5</v>
      </c>
      <c r="G66" s="42">
        <v>100.9</v>
      </c>
      <c r="H66" s="42">
        <v>59.3</v>
      </c>
      <c r="I66" s="42">
        <v>44</v>
      </c>
      <c r="J66" s="42">
        <v>51</v>
      </c>
      <c r="K66" s="42">
        <v>83.6</v>
      </c>
      <c r="L66" s="64">
        <v>266.60000000000002</v>
      </c>
      <c r="M66" s="56">
        <f t="shared" si="3"/>
        <v>5.1712962962962967</v>
      </c>
      <c r="N66" s="56">
        <f t="shared" si="4"/>
        <v>2.1889952153110053</v>
      </c>
      <c r="O66" s="56">
        <f t="shared" si="5"/>
        <v>1.6422200198216057</v>
      </c>
      <c r="P66" s="3"/>
    </row>
    <row r="67" spans="1:16" ht="15">
      <c r="A67" s="57" t="s">
        <v>56</v>
      </c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3"/>
    </row>
    <row r="68" spans="1:16">
      <c r="A68" s="65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>
      <c r="A69" s="4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</sheetData>
  <mergeCells count="4">
    <mergeCell ref="B2:L2"/>
    <mergeCell ref="M2:O2"/>
    <mergeCell ref="B37:L37"/>
    <mergeCell ref="M37:O37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72E1-D8E7-E94B-A620-45D6D8BEDE42}">
  <dimension ref="A1:O70"/>
  <sheetViews>
    <sheetView workbookViewId="0">
      <selection activeCell="Q36" sqref="Q36"/>
    </sheetView>
  </sheetViews>
  <sheetFormatPr defaultColWidth="11.375" defaultRowHeight="14.25"/>
  <sheetData>
    <row r="1" spans="1:15" ht="15">
      <c r="A1" s="10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>
      <c r="A2" s="44"/>
      <c r="B2" s="104" t="s">
        <v>58</v>
      </c>
      <c r="C2" s="104"/>
      <c r="D2" s="104"/>
      <c r="E2" s="104"/>
      <c r="F2" s="104"/>
      <c r="G2" s="104"/>
      <c r="H2" s="104"/>
      <c r="I2" s="104"/>
      <c r="J2" s="104"/>
      <c r="K2" s="104"/>
      <c r="L2" s="105"/>
      <c r="M2" s="106" t="s">
        <v>2</v>
      </c>
      <c r="N2" s="107"/>
      <c r="O2" s="107"/>
    </row>
    <row r="3" spans="1:15">
      <c r="A3" s="46"/>
      <c r="B3" s="46">
        <v>2013</v>
      </c>
      <c r="C3" s="46">
        <v>2014</v>
      </c>
      <c r="D3" s="46">
        <v>2015</v>
      </c>
      <c r="E3" s="46">
        <v>2016</v>
      </c>
      <c r="F3" s="46">
        <v>2017</v>
      </c>
      <c r="G3" s="46">
        <v>2018</v>
      </c>
      <c r="H3" s="46">
        <v>2019</v>
      </c>
      <c r="I3" s="46">
        <v>2020</v>
      </c>
      <c r="J3" s="46">
        <v>2021</v>
      </c>
      <c r="K3" s="46">
        <v>2022</v>
      </c>
      <c r="L3" s="45">
        <v>2023</v>
      </c>
      <c r="M3" s="46" t="s">
        <v>59</v>
      </c>
      <c r="N3" s="46" t="s">
        <v>60</v>
      </c>
      <c r="O3" s="46" t="s">
        <v>61</v>
      </c>
    </row>
    <row r="4" spans="1:15">
      <c r="A4" s="47" t="s">
        <v>22</v>
      </c>
      <c r="B4" s="48">
        <v>1117</v>
      </c>
      <c r="C4" s="48">
        <v>1144</v>
      </c>
      <c r="D4" s="48">
        <v>1589</v>
      </c>
      <c r="E4" s="48">
        <v>1797</v>
      </c>
      <c r="F4" s="48">
        <v>2551</v>
      </c>
      <c r="G4" s="48">
        <v>2986</v>
      </c>
      <c r="H4" s="48">
        <v>3730</v>
      </c>
      <c r="I4" s="48">
        <v>3292</v>
      </c>
      <c r="J4" s="48">
        <v>3535</v>
      </c>
      <c r="K4" s="48">
        <v>4978</v>
      </c>
      <c r="L4" s="49">
        <v>7949</v>
      </c>
      <c r="M4" s="50">
        <f t="shared" ref="M4:M31" si="0">(L4-B4)/B4</f>
        <v>6.1163831692032229</v>
      </c>
      <c r="N4" s="50">
        <f t="shared" ref="N4:N31" si="1">(L4-K4)/K4</f>
        <v>0.59682603455202887</v>
      </c>
      <c r="O4" s="50">
        <f t="shared" ref="O4:O31" si="2">(L4-G4)/G4</f>
        <v>1.6620897521768252</v>
      </c>
    </row>
    <row r="5" spans="1:15" ht="15">
      <c r="A5" s="10" t="s">
        <v>23</v>
      </c>
      <c r="B5" s="51">
        <v>0</v>
      </c>
      <c r="C5" s="51">
        <v>0</v>
      </c>
      <c r="D5" s="51">
        <v>1</v>
      </c>
      <c r="E5" s="51">
        <v>3</v>
      </c>
      <c r="F5" s="51">
        <v>5</v>
      </c>
      <c r="G5" s="51">
        <v>5</v>
      </c>
      <c r="H5" s="51">
        <v>3</v>
      </c>
      <c r="I5" s="51">
        <v>6</v>
      </c>
      <c r="J5" s="51">
        <v>17</v>
      </c>
      <c r="K5" s="51">
        <v>10</v>
      </c>
      <c r="L5" s="52">
        <v>14</v>
      </c>
      <c r="M5" s="53" t="s">
        <v>62</v>
      </c>
      <c r="N5" s="53">
        <f t="shared" si="1"/>
        <v>0.4</v>
      </c>
      <c r="O5" s="53">
        <f t="shared" si="2"/>
        <v>1.8</v>
      </c>
    </row>
    <row r="6" spans="1:15" ht="15">
      <c r="A6" s="10" t="s">
        <v>24</v>
      </c>
      <c r="B6" s="51">
        <v>15</v>
      </c>
      <c r="C6" s="51">
        <v>19</v>
      </c>
      <c r="D6" s="51">
        <v>24</v>
      </c>
      <c r="E6" s="51">
        <v>35</v>
      </c>
      <c r="F6" s="51">
        <v>38</v>
      </c>
      <c r="G6" s="51">
        <v>28</v>
      </c>
      <c r="H6" s="51">
        <v>60</v>
      </c>
      <c r="I6" s="51">
        <v>31</v>
      </c>
      <c r="J6" s="51">
        <v>36</v>
      </c>
      <c r="K6" s="51">
        <v>53</v>
      </c>
      <c r="L6" s="52">
        <v>61</v>
      </c>
      <c r="M6" s="53">
        <f t="shared" si="0"/>
        <v>3.0666666666666669</v>
      </c>
      <c r="N6" s="53">
        <f t="shared" si="1"/>
        <v>0.15094339622641509</v>
      </c>
      <c r="O6" s="53">
        <f t="shared" si="2"/>
        <v>1.1785714285714286</v>
      </c>
    </row>
    <row r="7" spans="1:15" ht="15">
      <c r="A7" s="10" t="s">
        <v>25</v>
      </c>
      <c r="B7" s="51">
        <v>0</v>
      </c>
      <c r="C7" s="51">
        <v>0</v>
      </c>
      <c r="D7" s="51">
        <v>0</v>
      </c>
      <c r="E7" s="51">
        <v>0</v>
      </c>
      <c r="F7" s="51">
        <v>2</v>
      </c>
      <c r="G7" s="51">
        <v>1</v>
      </c>
      <c r="H7" s="51">
        <v>1</v>
      </c>
      <c r="I7" s="51">
        <v>1</v>
      </c>
      <c r="J7" s="51">
        <v>2</v>
      </c>
      <c r="K7" s="51">
        <v>3</v>
      </c>
      <c r="L7" s="52">
        <v>8</v>
      </c>
      <c r="M7" s="53" t="s">
        <v>62</v>
      </c>
      <c r="N7" s="53">
        <f t="shared" si="1"/>
        <v>1.6666666666666667</v>
      </c>
      <c r="O7" s="53">
        <f t="shared" si="2"/>
        <v>7</v>
      </c>
    </row>
    <row r="8" spans="1:15" ht="15">
      <c r="A8" s="10" t="s">
        <v>26</v>
      </c>
      <c r="B8" s="51">
        <v>1</v>
      </c>
      <c r="C8" s="51">
        <v>2</v>
      </c>
      <c r="D8" s="51">
        <v>2</v>
      </c>
      <c r="E8" s="51">
        <v>3</v>
      </c>
      <c r="F8" s="51">
        <v>1</v>
      </c>
      <c r="G8" s="51">
        <v>11</v>
      </c>
      <c r="H8" s="51">
        <v>10</v>
      </c>
      <c r="I8" s="51">
        <v>3</v>
      </c>
      <c r="J8" s="51">
        <v>8</v>
      </c>
      <c r="K8" s="51">
        <v>15</v>
      </c>
      <c r="L8" s="52">
        <v>20</v>
      </c>
      <c r="M8" s="53">
        <f t="shared" si="0"/>
        <v>19</v>
      </c>
      <c r="N8" s="53">
        <f t="shared" si="1"/>
        <v>0.33333333333333331</v>
      </c>
      <c r="O8" s="53">
        <f t="shared" si="2"/>
        <v>0.81818181818181823</v>
      </c>
    </row>
    <row r="9" spans="1:15" ht="15">
      <c r="A9" s="10" t="s">
        <v>27</v>
      </c>
      <c r="B9" s="51">
        <v>17</v>
      </c>
      <c r="C9" s="51">
        <v>13</v>
      </c>
      <c r="D9" s="51">
        <v>12</v>
      </c>
      <c r="E9" s="51">
        <v>15</v>
      </c>
      <c r="F9" s="51">
        <v>31</v>
      </c>
      <c r="G9" s="51">
        <v>71</v>
      </c>
      <c r="H9" s="51">
        <v>79</v>
      </c>
      <c r="I9" s="51">
        <v>62</v>
      </c>
      <c r="J9" s="51">
        <v>84</v>
      </c>
      <c r="K9" s="51">
        <v>121</v>
      </c>
      <c r="L9" s="52">
        <v>281</v>
      </c>
      <c r="M9" s="53">
        <f t="shared" si="0"/>
        <v>15.529411764705882</v>
      </c>
      <c r="N9" s="53">
        <f t="shared" si="1"/>
        <v>1.3223140495867769</v>
      </c>
      <c r="O9" s="53">
        <f t="shared" si="2"/>
        <v>2.9577464788732395</v>
      </c>
    </row>
    <row r="10" spans="1:15" ht="15">
      <c r="A10" s="10" t="s">
        <v>28</v>
      </c>
      <c r="B10" s="51">
        <v>5</v>
      </c>
      <c r="C10" s="51">
        <v>9</v>
      </c>
      <c r="D10" s="51">
        <v>21</v>
      </c>
      <c r="E10" s="51">
        <v>22</v>
      </c>
      <c r="F10" s="51">
        <v>51</v>
      </c>
      <c r="G10" s="51">
        <v>66</v>
      </c>
      <c r="H10" s="51">
        <v>126</v>
      </c>
      <c r="I10" s="51">
        <v>141</v>
      </c>
      <c r="J10" s="51">
        <v>160</v>
      </c>
      <c r="K10" s="51">
        <v>694</v>
      </c>
      <c r="L10" s="52">
        <v>1574</v>
      </c>
      <c r="M10" s="53">
        <f t="shared" si="0"/>
        <v>313.8</v>
      </c>
      <c r="N10" s="53">
        <f t="shared" si="1"/>
        <v>1.2680115273775217</v>
      </c>
      <c r="O10" s="53">
        <f t="shared" si="2"/>
        <v>22.848484848484848</v>
      </c>
    </row>
    <row r="11" spans="1:15" ht="15">
      <c r="A11" s="10" t="s">
        <v>29</v>
      </c>
      <c r="B11" s="51">
        <v>11</v>
      </c>
      <c r="C11" s="51">
        <v>5</v>
      </c>
      <c r="D11" s="51">
        <v>8</v>
      </c>
      <c r="E11" s="51">
        <v>13</v>
      </c>
      <c r="F11" s="51">
        <v>18</v>
      </c>
      <c r="G11" s="51">
        <v>39</v>
      </c>
      <c r="H11" s="51">
        <v>61</v>
      </c>
      <c r="I11" s="51">
        <v>61</v>
      </c>
      <c r="J11" s="51">
        <v>57</v>
      </c>
      <c r="K11" s="51">
        <v>105</v>
      </c>
      <c r="L11" s="52">
        <v>121</v>
      </c>
      <c r="M11" s="53">
        <f t="shared" si="0"/>
        <v>10</v>
      </c>
      <c r="N11" s="53">
        <f t="shared" si="1"/>
        <v>0.15238095238095239</v>
      </c>
      <c r="O11" s="53">
        <f t="shared" si="2"/>
        <v>2.1025641025641026</v>
      </c>
    </row>
    <row r="12" spans="1:15" ht="15">
      <c r="A12" s="10" t="s">
        <v>30</v>
      </c>
      <c r="B12" s="51">
        <v>6</v>
      </c>
      <c r="C12" s="51">
        <v>24</v>
      </c>
      <c r="D12" s="51">
        <v>31</v>
      </c>
      <c r="E12" s="51">
        <v>59</v>
      </c>
      <c r="F12" s="51">
        <v>64</v>
      </c>
      <c r="G12" s="51">
        <v>69</v>
      </c>
      <c r="H12" s="51">
        <v>102</v>
      </c>
      <c r="I12" s="51">
        <v>106</v>
      </c>
      <c r="J12" s="51">
        <v>84</v>
      </c>
      <c r="K12" s="51">
        <v>128</v>
      </c>
      <c r="L12" s="52">
        <v>150</v>
      </c>
      <c r="M12" s="53">
        <f t="shared" si="0"/>
        <v>24</v>
      </c>
      <c r="N12" s="53">
        <f t="shared" si="1"/>
        <v>0.171875</v>
      </c>
      <c r="O12" s="53">
        <f t="shared" si="2"/>
        <v>1.173913043478261</v>
      </c>
    </row>
    <row r="13" spans="1:15" ht="15">
      <c r="A13" s="10" t="s">
        <v>31</v>
      </c>
      <c r="B13" s="51">
        <v>34</v>
      </c>
      <c r="C13" s="51">
        <v>43</v>
      </c>
      <c r="D13" s="51">
        <v>46</v>
      </c>
      <c r="E13" s="51">
        <v>33</v>
      </c>
      <c r="F13" s="51">
        <v>48</v>
      </c>
      <c r="G13" s="51">
        <v>59</v>
      </c>
      <c r="H13" s="51">
        <v>97</v>
      </c>
      <c r="I13" s="51">
        <v>104</v>
      </c>
      <c r="J13" s="51">
        <v>120</v>
      </c>
      <c r="K13" s="51">
        <v>139</v>
      </c>
      <c r="L13" s="52">
        <v>625</v>
      </c>
      <c r="M13" s="53">
        <f t="shared" si="0"/>
        <v>17.382352941176471</v>
      </c>
      <c r="N13" s="53">
        <f t="shared" si="1"/>
        <v>3.4964028776978417</v>
      </c>
      <c r="O13" s="53">
        <f t="shared" si="2"/>
        <v>9.5932203389830502</v>
      </c>
    </row>
    <row r="14" spans="1:15" ht="15">
      <c r="A14" s="10" t="s">
        <v>32</v>
      </c>
      <c r="B14" s="51">
        <v>5</v>
      </c>
      <c r="C14" s="51">
        <v>4</v>
      </c>
      <c r="D14" s="51">
        <v>6</v>
      </c>
      <c r="E14" s="51">
        <v>8</v>
      </c>
      <c r="F14" s="51">
        <v>18</v>
      </c>
      <c r="G14" s="51">
        <v>10</v>
      </c>
      <c r="H14" s="51">
        <v>29</v>
      </c>
      <c r="I14" s="51">
        <v>27</v>
      </c>
      <c r="J14" s="51">
        <v>33</v>
      </c>
      <c r="K14" s="51">
        <v>29</v>
      </c>
      <c r="L14" s="52">
        <v>32</v>
      </c>
      <c r="M14" s="53">
        <f t="shared" si="0"/>
        <v>5.4</v>
      </c>
      <c r="N14" s="53">
        <f t="shared" si="1"/>
        <v>0.10344827586206896</v>
      </c>
      <c r="O14" s="53">
        <f t="shared" si="2"/>
        <v>2.2000000000000002</v>
      </c>
    </row>
    <row r="15" spans="1:15" ht="15">
      <c r="A15" s="10" t="s">
        <v>33</v>
      </c>
      <c r="B15" s="51">
        <v>3</v>
      </c>
      <c r="C15" s="51">
        <v>4</v>
      </c>
      <c r="D15" s="51">
        <v>1</v>
      </c>
      <c r="E15" s="51">
        <v>4</v>
      </c>
      <c r="F15" s="51">
        <v>12</v>
      </c>
      <c r="G15" s="51">
        <v>18</v>
      </c>
      <c r="H15" s="51">
        <v>20</v>
      </c>
      <c r="I15" s="51">
        <v>19</v>
      </c>
      <c r="J15" s="51">
        <v>23</v>
      </c>
      <c r="K15" s="51">
        <v>33</v>
      </c>
      <c r="L15" s="52">
        <v>43</v>
      </c>
      <c r="M15" s="53">
        <f t="shared" si="0"/>
        <v>13.333333333333334</v>
      </c>
      <c r="N15" s="53">
        <f t="shared" si="1"/>
        <v>0.30303030303030304</v>
      </c>
      <c r="O15" s="53">
        <f t="shared" si="2"/>
        <v>1.3888888888888888</v>
      </c>
    </row>
    <row r="16" spans="1:15" ht="15">
      <c r="A16" s="10" t="s">
        <v>34</v>
      </c>
      <c r="B16" s="51">
        <v>29</v>
      </c>
      <c r="C16" s="51">
        <v>24</v>
      </c>
      <c r="D16" s="51">
        <v>43</v>
      </c>
      <c r="E16" s="51">
        <v>45</v>
      </c>
      <c r="F16" s="51">
        <v>66</v>
      </c>
      <c r="G16" s="51">
        <v>52</v>
      </c>
      <c r="H16" s="51">
        <v>60</v>
      </c>
      <c r="I16" s="51">
        <v>64</v>
      </c>
      <c r="J16" s="51">
        <v>52</v>
      </c>
      <c r="K16" s="51">
        <v>78</v>
      </c>
      <c r="L16" s="52">
        <v>97</v>
      </c>
      <c r="M16" s="53">
        <f t="shared" si="0"/>
        <v>2.3448275862068964</v>
      </c>
      <c r="N16" s="53">
        <f t="shared" si="1"/>
        <v>0.24358974358974358</v>
      </c>
      <c r="O16" s="53">
        <f t="shared" si="2"/>
        <v>0.86538461538461542</v>
      </c>
    </row>
    <row r="17" spans="1:15" ht="15">
      <c r="A17" s="10" t="s">
        <v>35</v>
      </c>
      <c r="B17" s="51">
        <v>141</v>
      </c>
      <c r="C17" s="51">
        <v>206</v>
      </c>
      <c r="D17" s="51">
        <v>294</v>
      </c>
      <c r="E17" s="51">
        <v>291</v>
      </c>
      <c r="F17" s="51">
        <v>403</v>
      </c>
      <c r="G17" s="51">
        <v>484</v>
      </c>
      <c r="H17" s="51">
        <v>596</v>
      </c>
      <c r="I17" s="51">
        <v>494</v>
      </c>
      <c r="J17" s="51">
        <v>496</v>
      </c>
      <c r="K17" s="51">
        <v>610</v>
      </c>
      <c r="L17" s="52">
        <v>769</v>
      </c>
      <c r="M17" s="53">
        <f t="shared" si="0"/>
        <v>4.4539007092198579</v>
      </c>
      <c r="N17" s="53">
        <f t="shared" si="1"/>
        <v>0.26065573770491801</v>
      </c>
      <c r="O17" s="53">
        <f t="shared" si="2"/>
        <v>0.58884297520661155</v>
      </c>
    </row>
    <row r="18" spans="1:15" ht="15">
      <c r="A18" s="10" t="s">
        <v>36</v>
      </c>
      <c r="B18" s="51">
        <v>1</v>
      </c>
      <c r="C18" s="51">
        <v>0</v>
      </c>
      <c r="D18" s="51">
        <v>4</v>
      </c>
      <c r="E18" s="51">
        <v>3</v>
      </c>
      <c r="F18" s="51">
        <v>8</v>
      </c>
      <c r="G18" s="51">
        <v>7</v>
      </c>
      <c r="H18" s="51">
        <v>18</v>
      </c>
      <c r="I18" s="51">
        <v>11</v>
      </c>
      <c r="J18" s="51">
        <v>18</v>
      </c>
      <c r="K18" s="51">
        <v>35</v>
      </c>
      <c r="L18" s="52">
        <v>39</v>
      </c>
      <c r="M18" s="53">
        <f t="shared" si="0"/>
        <v>38</v>
      </c>
      <c r="N18" s="53">
        <f t="shared" si="1"/>
        <v>0.11428571428571428</v>
      </c>
      <c r="O18" s="53">
        <f t="shared" si="2"/>
        <v>4.5714285714285712</v>
      </c>
    </row>
    <row r="19" spans="1:15" ht="15">
      <c r="A19" s="10" t="s">
        <v>37</v>
      </c>
      <c r="B19" s="51">
        <v>11</v>
      </c>
      <c r="C19" s="51">
        <v>12</v>
      </c>
      <c r="D19" s="51">
        <v>11</v>
      </c>
      <c r="E19" s="51">
        <v>7</v>
      </c>
      <c r="F19" s="51">
        <v>26</v>
      </c>
      <c r="G19" s="51">
        <v>35</v>
      </c>
      <c r="H19" s="51">
        <v>53</v>
      </c>
      <c r="I19" s="51">
        <v>47</v>
      </c>
      <c r="J19" s="51">
        <v>31</v>
      </c>
      <c r="K19" s="51">
        <v>56</v>
      </c>
      <c r="L19" s="52">
        <v>49</v>
      </c>
      <c r="M19" s="53">
        <f t="shared" si="0"/>
        <v>3.4545454545454546</v>
      </c>
      <c r="N19" s="53">
        <f t="shared" si="1"/>
        <v>-0.125</v>
      </c>
      <c r="O19" s="53">
        <f t="shared" si="2"/>
        <v>0.4</v>
      </c>
    </row>
    <row r="20" spans="1:15" ht="15">
      <c r="A20" s="10" t="s">
        <v>38</v>
      </c>
      <c r="B20" s="51">
        <v>48</v>
      </c>
      <c r="C20" s="51">
        <v>68</v>
      </c>
      <c r="D20" s="51">
        <v>153</v>
      </c>
      <c r="E20" s="51">
        <v>136</v>
      </c>
      <c r="F20" s="51">
        <v>237</v>
      </c>
      <c r="G20" s="51">
        <v>266</v>
      </c>
      <c r="H20" s="51">
        <v>298</v>
      </c>
      <c r="I20" s="51">
        <v>270</v>
      </c>
      <c r="J20" s="51">
        <v>272</v>
      </c>
      <c r="K20" s="51">
        <v>327</v>
      </c>
      <c r="L20" s="52">
        <v>404</v>
      </c>
      <c r="M20" s="53">
        <f t="shared" si="0"/>
        <v>7.416666666666667</v>
      </c>
      <c r="N20" s="53">
        <f t="shared" si="1"/>
        <v>0.23547400611620795</v>
      </c>
      <c r="O20" s="53">
        <f t="shared" si="2"/>
        <v>0.51879699248120303</v>
      </c>
    </row>
    <row r="21" spans="1:15" ht="15">
      <c r="A21" s="10" t="s">
        <v>39</v>
      </c>
      <c r="B21" s="51">
        <v>51</v>
      </c>
      <c r="C21" s="51">
        <v>36</v>
      </c>
      <c r="D21" s="51">
        <v>55</v>
      </c>
      <c r="E21" s="51">
        <v>71</v>
      </c>
      <c r="F21" s="51">
        <v>98</v>
      </c>
      <c r="G21" s="51">
        <v>106</v>
      </c>
      <c r="H21" s="51">
        <v>140</v>
      </c>
      <c r="I21" s="51">
        <v>124</v>
      </c>
      <c r="J21" s="51">
        <v>122</v>
      </c>
      <c r="K21" s="51">
        <v>171</v>
      </c>
      <c r="L21" s="52">
        <v>243</v>
      </c>
      <c r="M21" s="53">
        <f t="shared" si="0"/>
        <v>3.7647058823529411</v>
      </c>
      <c r="N21" s="53">
        <f t="shared" si="1"/>
        <v>0.42105263157894735</v>
      </c>
      <c r="O21" s="53">
        <f t="shared" si="2"/>
        <v>1.2924528301886793</v>
      </c>
    </row>
    <row r="22" spans="1:15" ht="15">
      <c r="A22" s="10" t="s">
        <v>40</v>
      </c>
      <c r="B22" s="51">
        <v>9</v>
      </c>
      <c r="C22" s="51">
        <v>16</v>
      </c>
      <c r="D22" s="51">
        <v>11</v>
      </c>
      <c r="E22" s="51">
        <v>30</v>
      </c>
      <c r="F22" s="51">
        <v>32</v>
      </c>
      <c r="G22" s="51">
        <v>25</v>
      </c>
      <c r="H22" s="51">
        <v>40</v>
      </c>
      <c r="I22" s="51">
        <v>36</v>
      </c>
      <c r="J22" s="51">
        <v>54</v>
      </c>
      <c r="K22" s="51">
        <v>56</v>
      </c>
      <c r="L22" s="52">
        <v>50</v>
      </c>
      <c r="M22" s="53">
        <f t="shared" si="0"/>
        <v>4.5555555555555554</v>
      </c>
      <c r="N22" s="53">
        <f t="shared" si="1"/>
        <v>-0.10714285714285714</v>
      </c>
      <c r="O22" s="53">
        <f t="shared" si="2"/>
        <v>1</v>
      </c>
    </row>
    <row r="23" spans="1:15" ht="15">
      <c r="A23" s="10" t="s">
        <v>41</v>
      </c>
      <c r="B23" s="51">
        <v>39</v>
      </c>
      <c r="C23" s="51">
        <v>93</v>
      </c>
      <c r="D23" s="51">
        <v>102</v>
      </c>
      <c r="E23" s="51">
        <v>100</v>
      </c>
      <c r="F23" s="51">
        <v>161</v>
      </c>
      <c r="G23" s="51">
        <v>174</v>
      </c>
      <c r="H23" s="51">
        <v>254</v>
      </c>
      <c r="I23" s="51">
        <v>231</v>
      </c>
      <c r="J23" s="51">
        <v>269</v>
      </c>
      <c r="K23" s="51">
        <v>454</v>
      </c>
      <c r="L23" s="52">
        <v>655</v>
      </c>
      <c r="M23" s="53">
        <f t="shared" si="0"/>
        <v>15.794871794871796</v>
      </c>
      <c r="N23" s="53">
        <f t="shared" si="1"/>
        <v>0.44273127753303965</v>
      </c>
      <c r="O23" s="53">
        <f t="shared" si="2"/>
        <v>2.764367816091954</v>
      </c>
    </row>
    <row r="24" spans="1:15" ht="15">
      <c r="A24" s="10" t="s">
        <v>42</v>
      </c>
      <c r="B24" s="51">
        <v>11</v>
      </c>
      <c r="C24" s="51">
        <v>11</v>
      </c>
      <c r="D24" s="51">
        <v>24</v>
      </c>
      <c r="E24" s="51">
        <v>26</v>
      </c>
      <c r="F24" s="51">
        <v>25</v>
      </c>
      <c r="G24" s="51">
        <v>35</v>
      </c>
      <c r="H24" s="51">
        <v>60</v>
      </c>
      <c r="I24" s="51">
        <v>41</v>
      </c>
      <c r="J24" s="51">
        <v>49</v>
      </c>
      <c r="K24" s="51">
        <v>57</v>
      </c>
      <c r="L24" s="52">
        <v>64</v>
      </c>
      <c r="M24" s="53">
        <f t="shared" si="0"/>
        <v>4.8181818181818183</v>
      </c>
      <c r="N24" s="53">
        <f t="shared" si="1"/>
        <v>0.12280701754385964</v>
      </c>
      <c r="O24" s="53">
        <f t="shared" si="2"/>
        <v>0.82857142857142863</v>
      </c>
    </row>
    <row r="25" spans="1:15" ht="15">
      <c r="A25" s="10" t="s">
        <v>43</v>
      </c>
      <c r="B25" s="51">
        <v>174</v>
      </c>
      <c r="C25" s="51">
        <v>190</v>
      </c>
      <c r="D25" s="51">
        <v>235</v>
      </c>
      <c r="E25" s="51">
        <v>227</v>
      </c>
      <c r="F25" s="51">
        <v>323</v>
      </c>
      <c r="G25" s="51">
        <v>392</v>
      </c>
      <c r="H25" s="51">
        <v>531</v>
      </c>
      <c r="I25" s="51">
        <v>415</v>
      </c>
      <c r="J25" s="51">
        <v>380</v>
      </c>
      <c r="K25" s="51">
        <v>362</v>
      </c>
      <c r="L25" s="52">
        <v>524</v>
      </c>
      <c r="M25" s="53">
        <f t="shared" si="0"/>
        <v>2.0114942528735633</v>
      </c>
      <c r="N25" s="53">
        <f t="shared" si="1"/>
        <v>0.44751381215469616</v>
      </c>
      <c r="O25" s="53">
        <f t="shared" si="2"/>
        <v>0.33673469387755101</v>
      </c>
    </row>
    <row r="26" spans="1:15" ht="15">
      <c r="A26" s="10" t="s">
        <v>44</v>
      </c>
      <c r="B26" s="51">
        <v>1</v>
      </c>
      <c r="C26" s="51">
        <v>1</v>
      </c>
      <c r="D26" s="51">
        <v>0</v>
      </c>
      <c r="E26" s="51">
        <v>2</v>
      </c>
      <c r="F26" s="51">
        <v>7</v>
      </c>
      <c r="G26" s="51">
        <v>11</v>
      </c>
      <c r="H26" s="51">
        <v>6</v>
      </c>
      <c r="I26" s="51">
        <v>8</v>
      </c>
      <c r="J26" s="51">
        <v>9</v>
      </c>
      <c r="K26" s="51">
        <v>20</v>
      </c>
      <c r="L26" s="52">
        <v>26</v>
      </c>
      <c r="M26" s="53">
        <f t="shared" si="0"/>
        <v>25</v>
      </c>
      <c r="N26" s="53">
        <f t="shared" si="1"/>
        <v>0.3</v>
      </c>
      <c r="O26" s="53">
        <f t="shared" si="2"/>
        <v>1.3636363636363635</v>
      </c>
    </row>
    <row r="27" spans="1:15" ht="15">
      <c r="A27" s="10" t="s">
        <v>45</v>
      </c>
      <c r="B27" s="51">
        <v>2</v>
      </c>
      <c r="C27" s="51">
        <v>2</v>
      </c>
      <c r="D27" s="51">
        <v>0</v>
      </c>
      <c r="E27" s="51">
        <v>2</v>
      </c>
      <c r="F27" s="51">
        <v>5</v>
      </c>
      <c r="G27" s="51">
        <v>6</v>
      </c>
      <c r="H27" s="51">
        <v>12</v>
      </c>
      <c r="I27" s="51">
        <v>14</v>
      </c>
      <c r="J27" s="51">
        <v>11</v>
      </c>
      <c r="K27" s="51">
        <v>36</v>
      </c>
      <c r="L27" s="52">
        <v>31</v>
      </c>
      <c r="M27" s="53">
        <f t="shared" si="0"/>
        <v>14.5</v>
      </c>
      <c r="N27" s="53">
        <f t="shared" si="1"/>
        <v>-0.1388888888888889</v>
      </c>
      <c r="O27" s="53">
        <f t="shared" si="2"/>
        <v>4.166666666666667</v>
      </c>
    </row>
    <row r="28" spans="1:15" ht="15">
      <c r="A28" s="10" t="s">
        <v>46</v>
      </c>
      <c r="B28" s="51">
        <v>80</v>
      </c>
      <c r="C28" s="51">
        <v>125</v>
      </c>
      <c r="D28" s="51">
        <v>154</v>
      </c>
      <c r="E28" s="51">
        <v>140</v>
      </c>
      <c r="F28" s="51">
        <v>182</v>
      </c>
      <c r="G28" s="51">
        <v>232</v>
      </c>
      <c r="H28" s="51">
        <v>273</v>
      </c>
      <c r="I28" s="51">
        <v>248</v>
      </c>
      <c r="J28" s="51">
        <v>251</v>
      </c>
      <c r="K28" s="51">
        <v>246</v>
      </c>
      <c r="L28" s="52">
        <v>338</v>
      </c>
      <c r="M28" s="53">
        <f t="shared" si="0"/>
        <v>3.2250000000000001</v>
      </c>
      <c r="N28" s="53">
        <f t="shared" si="1"/>
        <v>0.37398373983739835</v>
      </c>
      <c r="O28" s="53">
        <f t="shared" si="2"/>
        <v>0.45689655172413796</v>
      </c>
    </row>
    <row r="29" spans="1:15" ht="15">
      <c r="A29" s="10" t="s">
        <v>47</v>
      </c>
      <c r="B29" s="51">
        <v>407</v>
      </c>
      <c r="C29" s="51">
        <v>223</v>
      </c>
      <c r="D29" s="51">
        <v>330</v>
      </c>
      <c r="E29" s="51">
        <v>427</v>
      </c>
      <c r="F29" s="51">
        <v>654</v>
      </c>
      <c r="G29" s="51">
        <v>750</v>
      </c>
      <c r="H29" s="51">
        <v>756</v>
      </c>
      <c r="I29" s="51">
        <v>696</v>
      </c>
      <c r="J29" s="51">
        <v>864</v>
      </c>
      <c r="K29" s="51">
        <v>1092</v>
      </c>
      <c r="L29" s="52">
        <v>1639</v>
      </c>
      <c r="M29" s="53">
        <f t="shared" si="0"/>
        <v>3.0270270270270272</v>
      </c>
      <c r="N29" s="53">
        <f t="shared" si="1"/>
        <v>0.50091575091575091</v>
      </c>
      <c r="O29" s="53">
        <f t="shared" si="2"/>
        <v>1.1853333333333333</v>
      </c>
    </row>
    <row r="30" spans="1:15" ht="15">
      <c r="A30" s="10" t="s">
        <v>48</v>
      </c>
      <c r="B30" s="51">
        <v>0</v>
      </c>
      <c r="C30" s="51">
        <v>2</v>
      </c>
      <c r="D30" s="51">
        <v>4</v>
      </c>
      <c r="E30" s="51">
        <v>0</v>
      </c>
      <c r="F30" s="51">
        <v>2</v>
      </c>
      <c r="G30" s="51">
        <v>5</v>
      </c>
      <c r="H30" s="51">
        <v>12</v>
      </c>
      <c r="I30" s="51">
        <v>16</v>
      </c>
      <c r="J30" s="51">
        <v>13</v>
      </c>
      <c r="K30" s="51">
        <v>19</v>
      </c>
      <c r="L30" s="52">
        <v>31</v>
      </c>
      <c r="M30" s="53" t="s">
        <v>62</v>
      </c>
      <c r="N30" s="53">
        <f t="shared" si="1"/>
        <v>0.63157894736842102</v>
      </c>
      <c r="O30" s="53">
        <f t="shared" si="2"/>
        <v>5.2</v>
      </c>
    </row>
    <row r="31" spans="1:15" ht="15">
      <c r="A31" s="39" t="s">
        <v>49</v>
      </c>
      <c r="B31" s="54">
        <v>16</v>
      </c>
      <c r="C31" s="54">
        <v>12</v>
      </c>
      <c r="D31" s="54">
        <v>16</v>
      </c>
      <c r="E31" s="54">
        <v>94</v>
      </c>
      <c r="F31" s="54">
        <v>34</v>
      </c>
      <c r="G31" s="54">
        <v>28</v>
      </c>
      <c r="H31" s="54">
        <v>33</v>
      </c>
      <c r="I31" s="54">
        <v>15</v>
      </c>
      <c r="J31" s="54">
        <v>20</v>
      </c>
      <c r="K31" s="54">
        <v>29</v>
      </c>
      <c r="L31" s="55">
        <v>60</v>
      </c>
      <c r="M31" s="53">
        <f t="shared" si="0"/>
        <v>2.75</v>
      </c>
      <c r="N31" s="56">
        <f t="shared" si="1"/>
        <v>1.0689655172413792</v>
      </c>
      <c r="O31" s="56">
        <f t="shared" si="2"/>
        <v>1.1428571428571428</v>
      </c>
    </row>
    <row r="32" spans="1:15" ht="15">
      <c r="A32" s="57" t="s">
        <v>63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</row>
    <row r="33" spans="1:15">
      <c r="A33" s="65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4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ht="15">
      <c r="A36" s="66" t="s">
        <v>64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">
      <c r="A37" s="44"/>
      <c r="B37" s="104" t="s">
        <v>65</v>
      </c>
      <c r="C37" s="104"/>
      <c r="D37" s="104"/>
      <c r="E37" s="104"/>
      <c r="F37" s="104"/>
      <c r="G37" s="104"/>
      <c r="H37" s="104"/>
      <c r="I37" s="104"/>
      <c r="J37" s="104"/>
      <c r="K37" s="104"/>
      <c r="L37" s="105"/>
      <c r="M37" s="106" t="s">
        <v>2</v>
      </c>
      <c r="N37" s="107"/>
      <c r="O37" s="107"/>
    </row>
    <row r="38" spans="1:15">
      <c r="A38" s="46"/>
      <c r="B38" s="46">
        <v>2013</v>
      </c>
      <c r="C38" s="46">
        <v>2014</v>
      </c>
      <c r="D38" s="46">
        <v>2015</v>
      </c>
      <c r="E38" s="46">
        <v>2016</v>
      </c>
      <c r="F38" s="46">
        <v>2017</v>
      </c>
      <c r="G38" s="46">
        <v>2018</v>
      </c>
      <c r="H38" s="46">
        <v>2019</v>
      </c>
      <c r="I38" s="46">
        <v>2020</v>
      </c>
      <c r="J38" s="46">
        <v>2021</v>
      </c>
      <c r="K38" s="46">
        <v>2022</v>
      </c>
      <c r="L38" s="45">
        <v>2023</v>
      </c>
      <c r="M38" s="46" t="s">
        <v>3</v>
      </c>
      <c r="N38" s="46" t="s">
        <v>4</v>
      </c>
      <c r="O38" s="46" t="s">
        <v>5</v>
      </c>
    </row>
    <row r="39" spans="1:15">
      <c r="A39" s="47" t="s">
        <v>22</v>
      </c>
      <c r="B39" s="61">
        <v>4.8</v>
      </c>
      <c r="C39" s="61">
        <v>4.8</v>
      </c>
      <c r="D39" s="61">
        <v>6.4</v>
      </c>
      <c r="E39" s="61">
        <v>6.9</v>
      </c>
      <c r="F39" s="61">
        <v>9.5</v>
      </c>
      <c r="G39" s="61">
        <v>10.7</v>
      </c>
      <c r="H39" s="61">
        <v>12.9</v>
      </c>
      <c r="I39" s="61">
        <v>10.9</v>
      </c>
      <c r="J39" s="61">
        <v>11.3</v>
      </c>
      <c r="K39" s="61">
        <v>15.4</v>
      </c>
      <c r="L39" s="62">
        <v>23.7</v>
      </c>
      <c r="M39" s="50">
        <f t="shared" ref="M39" si="3">(L39-B39)/B39</f>
        <v>3.9375</v>
      </c>
      <c r="N39" s="50">
        <f t="shared" ref="N39:N66" si="4">(L39-K39)/K39</f>
        <v>0.53896103896103886</v>
      </c>
      <c r="O39" s="50">
        <f t="shared" ref="O39:O66" si="5">(L39-G39)/G39</f>
        <v>1.2149532710280375</v>
      </c>
    </row>
    <row r="40" spans="1:15" ht="15">
      <c r="A40" s="10" t="s">
        <v>23</v>
      </c>
      <c r="B40" s="37">
        <v>0</v>
      </c>
      <c r="C40" s="37">
        <v>0</v>
      </c>
      <c r="D40" s="37">
        <v>1.8</v>
      </c>
      <c r="E40" s="37">
        <v>4.9000000000000004</v>
      </c>
      <c r="F40" s="37">
        <v>7.4</v>
      </c>
      <c r="G40" s="37">
        <v>6.6</v>
      </c>
      <c r="H40" s="37">
        <v>3.9</v>
      </c>
      <c r="I40" s="37">
        <v>7.2</v>
      </c>
      <c r="J40" s="37">
        <v>22.4</v>
      </c>
      <c r="K40" s="37">
        <v>11.4</v>
      </c>
      <c r="L40" s="63">
        <v>15.8</v>
      </c>
      <c r="M40" s="53" t="s">
        <v>62</v>
      </c>
      <c r="N40" s="53">
        <f t="shared" si="4"/>
        <v>0.38596491228070179</v>
      </c>
      <c r="O40" s="53">
        <f t="shared" si="5"/>
        <v>1.3939393939393943</v>
      </c>
    </row>
    <row r="41" spans="1:15" ht="15">
      <c r="A41" s="10" t="s">
        <v>24</v>
      </c>
      <c r="B41" s="37">
        <v>4.8</v>
      </c>
      <c r="C41" s="37">
        <v>5.6</v>
      </c>
      <c r="D41" s="37">
        <v>7.3</v>
      </c>
      <c r="E41" s="37">
        <v>9.5</v>
      </c>
      <c r="F41" s="37">
        <v>9.5</v>
      </c>
      <c r="G41" s="37">
        <v>6.7</v>
      </c>
      <c r="H41" s="37">
        <v>13.9</v>
      </c>
      <c r="I41" s="37">
        <v>7.1</v>
      </c>
      <c r="J41" s="37">
        <v>9.5</v>
      </c>
      <c r="K41" s="37">
        <v>13</v>
      </c>
      <c r="L41" s="63">
        <v>14.6</v>
      </c>
      <c r="M41" s="53">
        <f t="shared" ref="M41:M66" si="6">(L41-B41)/B41</f>
        <v>2.041666666666667</v>
      </c>
      <c r="N41" s="53">
        <f t="shared" si="4"/>
        <v>0.12307692307692306</v>
      </c>
      <c r="O41" s="53">
        <f t="shared" si="5"/>
        <v>1.1791044776119401</v>
      </c>
    </row>
    <row r="42" spans="1:15" ht="15">
      <c r="A42" s="10" t="s">
        <v>25</v>
      </c>
      <c r="B42" s="37">
        <v>0</v>
      </c>
      <c r="C42" s="37">
        <v>0</v>
      </c>
      <c r="D42" s="37">
        <v>0</v>
      </c>
      <c r="E42" s="37">
        <v>0</v>
      </c>
      <c r="F42" s="37">
        <v>3.9</v>
      </c>
      <c r="G42" s="37">
        <v>1.5</v>
      </c>
      <c r="H42" s="37">
        <v>1.6</v>
      </c>
      <c r="I42" s="37">
        <v>1.5</v>
      </c>
      <c r="J42" s="37">
        <v>2.7</v>
      </c>
      <c r="K42" s="37">
        <v>3.8</v>
      </c>
      <c r="L42" s="63">
        <v>8.8000000000000007</v>
      </c>
      <c r="M42" s="53" t="s">
        <v>62</v>
      </c>
      <c r="N42" s="53">
        <f t="shared" si="4"/>
        <v>1.3157894736842108</v>
      </c>
      <c r="O42" s="53">
        <f t="shared" si="5"/>
        <v>4.8666666666666671</v>
      </c>
    </row>
    <row r="43" spans="1:15" ht="15">
      <c r="A43" s="10" t="s">
        <v>26</v>
      </c>
      <c r="B43" s="37">
        <v>0.4</v>
      </c>
      <c r="C43" s="37">
        <v>0.8</v>
      </c>
      <c r="D43" s="37">
        <v>0.8</v>
      </c>
      <c r="E43" s="37">
        <v>1.1000000000000001</v>
      </c>
      <c r="F43" s="37">
        <v>0.3</v>
      </c>
      <c r="G43" s="37">
        <v>3.2</v>
      </c>
      <c r="H43" s="37">
        <v>3.1</v>
      </c>
      <c r="I43" s="37">
        <v>0.9</v>
      </c>
      <c r="J43" s="37">
        <v>2.1</v>
      </c>
      <c r="K43" s="37">
        <v>4</v>
      </c>
      <c r="L43" s="63">
        <v>5.3</v>
      </c>
      <c r="M43" s="53">
        <f t="shared" si="6"/>
        <v>12.249999999999998</v>
      </c>
      <c r="N43" s="53">
        <f t="shared" si="4"/>
        <v>0.32499999999999996</v>
      </c>
      <c r="O43" s="53">
        <f t="shared" si="5"/>
        <v>0.65624999999999989</v>
      </c>
    </row>
    <row r="44" spans="1:15" ht="15">
      <c r="A44" s="10" t="s">
        <v>27</v>
      </c>
      <c r="B44" s="37">
        <v>1.1000000000000001</v>
      </c>
      <c r="C44" s="37">
        <v>0.8</v>
      </c>
      <c r="D44" s="37">
        <v>0.7</v>
      </c>
      <c r="E44" s="37">
        <v>0.9</v>
      </c>
      <c r="F44" s="37">
        <v>1.8</v>
      </c>
      <c r="G44" s="37">
        <v>3.8</v>
      </c>
      <c r="H44" s="37">
        <v>3.9</v>
      </c>
      <c r="I44" s="37">
        <v>3</v>
      </c>
      <c r="J44" s="37">
        <v>3.8</v>
      </c>
      <c r="K44" s="37">
        <v>5.5</v>
      </c>
      <c r="L44" s="63">
        <v>12.5</v>
      </c>
      <c r="M44" s="53">
        <f t="shared" si="6"/>
        <v>10.363636363636363</v>
      </c>
      <c r="N44" s="53">
        <f t="shared" si="4"/>
        <v>1.2727272727272727</v>
      </c>
      <c r="O44" s="53">
        <f t="shared" si="5"/>
        <v>2.2894736842105261</v>
      </c>
    </row>
    <row r="45" spans="1:15" ht="15">
      <c r="A45" s="10" t="s">
        <v>28</v>
      </c>
      <c r="B45" s="37">
        <v>0.5</v>
      </c>
      <c r="C45" s="37">
        <v>0.9</v>
      </c>
      <c r="D45" s="37">
        <v>1.9</v>
      </c>
      <c r="E45" s="37">
        <v>2</v>
      </c>
      <c r="F45" s="37">
        <v>4.5</v>
      </c>
      <c r="G45" s="37">
        <v>5.7</v>
      </c>
      <c r="H45" s="37">
        <v>10.199999999999999</v>
      </c>
      <c r="I45" s="37">
        <v>11.4</v>
      </c>
      <c r="J45" s="37">
        <v>12.9</v>
      </c>
      <c r="K45" s="37">
        <v>49.8</v>
      </c>
      <c r="L45" s="63">
        <v>114.3</v>
      </c>
      <c r="M45" s="53">
        <f t="shared" si="6"/>
        <v>227.6</v>
      </c>
      <c r="N45" s="53">
        <f t="shared" si="4"/>
        <v>1.2951807228915664</v>
      </c>
      <c r="O45" s="53">
        <f t="shared" si="5"/>
        <v>19.052631578947366</v>
      </c>
    </row>
    <row r="46" spans="1:15" ht="15">
      <c r="A46" s="10" t="s">
        <v>29</v>
      </c>
      <c r="B46" s="37">
        <v>4.5999999999999996</v>
      </c>
      <c r="C46" s="37">
        <v>1.8</v>
      </c>
      <c r="D46" s="37">
        <v>2.8</v>
      </c>
      <c r="E46" s="37">
        <v>4.7</v>
      </c>
      <c r="F46" s="37">
        <v>5.7</v>
      </c>
      <c r="G46" s="37">
        <v>12.4</v>
      </c>
      <c r="H46" s="37">
        <v>17.3</v>
      </c>
      <c r="I46" s="37">
        <v>15.6</v>
      </c>
      <c r="J46" s="37">
        <v>17.100000000000001</v>
      </c>
      <c r="K46" s="37">
        <v>30.1</v>
      </c>
      <c r="L46" s="63">
        <v>29.6</v>
      </c>
      <c r="M46" s="53">
        <f t="shared" si="6"/>
        <v>5.4347826086956523</v>
      </c>
      <c r="N46" s="53">
        <f t="shared" si="4"/>
        <v>-1.6611295681063121E-2</v>
      </c>
      <c r="O46" s="53">
        <f t="shared" si="5"/>
        <v>1.3870967741935485</v>
      </c>
    </row>
    <row r="47" spans="1:15" ht="15">
      <c r="A47" s="10" t="s">
        <v>30</v>
      </c>
      <c r="B47" s="37">
        <v>1.6</v>
      </c>
      <c r="C47" s="37">
        <v>5.4</v>
      </c>
      <c r="D47" s="37">
        <v>7.2</v>
      </c>
      <c r="E47" s="37">
        <v>12.5</v>
      </c>
      <c r="F47" s="37">
        <v>13.2</v>
      </c>
      <c r="G47" s="37">
        <v>13.7</v>
      </c>
      <c r="H47" s="37">
        <v>18.8</v>
      </c>
      <c r="I47" s="37">
        <v>19</v>
      </c>
      <c r="J47" s="37">
        <v>14.7</v>
      </c>
      <c r="K47" s="37">
        <v>20.5</v>
      </c>
      <c r="L47" s="63">
        <v>22.7</v>
      </c>
      <c r="M47" s="53">
        <f t="shared" si="6"/>
        <v>13.187499999999998</v>
      </c>
      <c r="N47" s="53">
        <f t="shared" si="4"/>
        <v>0.10731707317073168</v>
      </c>
      <c r="O47" s="53">
        <f t="shared" si="5"/>
        <v>0.65693430656934315</v>
      </c>
    </row>
    <row r="48" spans="1:15" ht="15">
      <c r="A48" s="10" t="s">
        <v>31</v>
      </c>
      <c r="B48" s="37">
        <v>5.3</v>
      </c>
      <c r="C48" s="37">
        <v>6.8</v>
      </c>
      <c r="D48" s="37">
        <v>6.7</v>
      </c>
      <c r="E48" s="37">
        <v>4.5</v>
      </c>
      <c r="F48" s="37">
        <v>6</v>
      </c>
      <c r="G48" s="37">
        <v>7.5</v>
      </c>
      <c r="H48" s="37">
        <v>11.2</v>
      </c>
      <c r="I48" s="37">
        <v>11.2</v>
      </c>
      <c r="J48" s="37">
        <v>12.2</v>
      </c>
      <c r="K48" s="37">
        <v>15</v>
      </c>
      <c r="L48" s="63">
        <v>60.9</v>
      </c>
      <c r="M48" s="53">
        <f t="shared" si="6"/>
        <v>10.490566037735849</v>
      </c>
      <c r="N48" s="53">
        <f t="shared" si="4"/>
        <v>3.06</v>
      </c>
      <c r="O48" s="53">
        <f t="shared" si="5"/>
        <v>7.12</v>
      </c>
    </row>
    <row r="49" spans="1:15" ht="15">
      <c r="A49" s="10" t="s">
        <v>32</v>
      </c>
      <c r="B49" s="37">
        <v>0.8</v>
      </c>
      <c r="C49" s="37">
        <v>0.6</v>
      </c>
      <c r="D49" s="37">
        <v>0.9</v>
      </c>
      <c r="E49" s="37">
        <v>1.1000000000000001</v>
      </c>
      <c r="F49" s="37">
        <v>2.5</v>
      </c>
      <c r="G49" s="37">
        <v>1.3</v>
      </c>
      <c r="H49" s="37">
        <v>3.7</v>
      </c>
      <c r="I49" s="37">
        <v>3.4</v>
      </c>
      <c r="J49" s="37">
        <v>4.3</v>
      </c>
      <c r="K49" s="37">
        <v>3.4</v>
      </c>
      <c r="L49" s="63">
        <v>3.8</v>
      </c>
      <c r="M49" s="53">
        <f t="shared" si="6"/>
        <v>3.75</v>
      </c>
      <c r="N49" s="53">
        <f t="shared" si="4"/>
        <v>0.11764705882352938</v>
      </c>
      <c r="O49" s="53">
        <f t="shared" si="5"/>
        <v>1.9230769230769229</v>
      </c>
    </row>
    <row r="50" spans="1:15" ht="15">
      <c r="A50" s="10" t="s">
        <v>33</v>
      </c>
      <c r="B50" s="37">
        <v>1</v>
      </c>
      <c r="C50" s="37">
        <v>1.4</v>
      </c>
      <c r="D50" s="37">
        <v>0.3</v>
      </c>
      <c r="E50" s="37">
        <v>1.2</v>
      </c>
      <c r="F50" s="37">
        <v>3.5</v>
      </c>
      <c r="G50" s="37">
        <v>4.5999999999999996</v>
      </c>
      <c r="H50" s="37">
        <v>5.8</v>
      </c>
      <c r="I50" s="37">
        <v>5.4</v>
      </c>
      <c r="J50" s="37">
        <v>5.9</v>
      </c>
      <c r="K50" s="37">
        <v>8.3000000000000007</v>
      </c>
      <c r="L50" s="63">
        <v>10.1</v>
      </c>
      <c r="M50" s="53">
        <f t="shared" si="6"/>
        <v>9.1</v>
      </c>
      <c r="N50" s="53">
        <f t="shared" si="4"/>
        <v>0.21686746987951794</v>
      </c>
      <c r="O50" s="53">
        <f t="shared" si="5"/>
        <v>1.1956521739130437</v>
      </c>
    </row>
    <row r="51" spans="1:15" ht="15">
      <c r="A51" s="10" t="s">
        <v>34</v>
      </c>
      <c r="B51" s="37">
        <v>12</v>
      </c>
      <c r="C51" s="37">
        <v>9.1999999999999993</v>
      </c>
      <c r="D51" s="37">
        <v>15.2</v>
      </c>
      <c r="E51" s="37">
        <v>14.9</v>
      </c>
      <c r="F51" s="37">
        <v>20.5</v>
      </c>
      <c r="G51" s="37">
        <v>17.100000000000001</v>
      </c>
      <c r="H51" s="37">
        <v>18.399999999999999</v>
      </c>
      <c r="I51" s="37">
        <v>18</v>
      </c>
      <c r="J51" s="37">
        <v>15.4</v>
      </c>
      <c r="K51" s="37">
        <v>22.1</v>
      </c>
      <c r="L51" s="63">
        <v>25.9</v>
      </c>
      <c r="M51" s="53">
        <f t="shared" si="6"/>
        <v>1.1583333333333332</v>
      </c>
      <c r="N51" s="53">
        <f t="shared" si="4"/>
        <v>0.17194570135746592</v>
      </c>
      <c r="O51" s="53">
        <f t="shared" si="5"/>
        <v>0.51461988304093542</v>
      </c>
    </row>
    <row r="52" spans="1:15" ht="15">
      <c r="A52" s="10" t="s">
        <v>35</v>
      </c>
      <c r="B52" s="37">
        <v>5.6</v>
      </c>
      <c r="C52" s="37">
        <v>7.9</v>
      </c>
      <c r="D52" s="37">
        <v>10.9</v>
      </c>
      <c r="E52" s="37">
        <v>10.4</v>
      </c>
      <c r="F52" s="37">
        <v>14.1</v>
      </c>
      <c r="G52" s="37">
        <v>15.9</v>
      </c>
      <c r="H52" s="37">
        <v>19.100000000000001</v>
      </c>
      <c r="I52" s="37">
        <v>14.8</v>
      </c>
      <c r="J52" s="37">
        <v>15.2</v>
      </c>
      <c r="K52" s="37">
        <v>18</v>
      </c>
      <c r="L52" s="63">
        <v>21.8</v>
      </c>
      <c r="M52" s="53">
        <f t="shared" si="6"/>
        <v>2.8928571428571437</v>
      </c>
      <c r="N52" s="53">
        <f t="shared" si="4"/>
        <v>0.21111111111111114</v>
      </c>
      <c r="O52" s="53">
        <f t="shared" si="5"/>
        <v>0.37106918238993714</v>
      </c>
    </row>
    <row r="53" spans="1:15" ht="15">
      <c r="A53" s="10" t="s">
        <v>36</v>
      </c>
      <c r="B53" s="37">
        <v>0.2</v>
      </c>
      <c r="C53" s="37">
        <v>0</v>
      </c>
      <c r="D53" s="37">
        <v>0.6</v>
      </c>
      <c r="E53" s="37">
        <v>0.4</v>
      </c>
      <c r="F53" s="37">
        <v>1.1000000000000001</v>
      </c>
      <c r="G53" s="37">
        <v>0.9</v>
      </c>
      <c r="H53" s="37">
        <v>2.1</v>
      </c>
      <c r="I53" s="37">
        <v>1.2</v>
      </c>
      <c r="J53" s="37">
        <v>2.1</v>
      </c>
      <c r="K53" s="37">
        <v>3.9</v>
      </c>
      <c r="L53" s="63">
        <v>4</v>
      </c>
      <c r="M53" s="53">
        <f t="shared" si="6"/>
        <v>18.999999999999996</v>
      </c>
      <c r="N53" s="53">
        <f t="shared" si="4"/>
        <v>2.5641025641025664E-2</v>
      </c>
      <c r="O53" s="53">
        <f t="shared" si="5"/>
        <v>3.4444444444444446</v>
      </c>
    </row>
    <row r="54" spans="1:15" ht="15">
      <c r="A54" s="10" t="s">
        <v>37</v>
      </c>
      <c r="B54" s="37">
        <v>2.5</v>
      </c>
      <c r="C54" s="37">
        <v>2.8</v>
      </c>
      <c r="D54" s="37">
        <v>2.4</v>
      </c>
      <c r="E54" s="37">
        <v>1.4</v>
      </c>
      <c r="F54" s="37">
        <v>4.9000000000000004</v>
      </c>
      <c r="G54" s="37">
        <v>6.7</v>
      </c>
      <c r="H54" s="37">
        <v>10.199999999999999</v>
      </c>
      <c r="I54" s="37">
        <v>9.3000000000000007</v>
      </c>
      <c r="J54" s="37">
        <v>5.7</v>
      </c>
      <c r="K54" s="37">
        <v>10.199999999999999</v>
      </c>
      <c r="L54" s="63">
        <v>8.1999999999999993</v>
      </c>
      <c r="M54" s="53">
        <f t="shared" si="6"/>
        <v>2.2799999999999998</v>
      </c>
      <c r="N54" s="53">
        <f t="shared" si="4"/>
        <v>-0.19607843137254904</v>
      </c>
      <c r="O54" s="53">
        <f t="shared" si="5"/>
        <v>0.22388059701492524</v>
      </c>
    </row>
    <row r="55" spans="1:15" ht="15">
      <c r="A55" s="10" t="s">
        <v>38</v>
      </c>
      <c r="B55" s="37">
        <v>3.8</v>
      </c>
      <c r="C55" s="37">
        <v>5.2</v>
      </c>
      <c r="D55" s="37">
        <v>11.1</v>
      </c>
      <c r="E55" s="37">
        <v>9.4</v>
      </c>
      <c r="F55" s="37">
        <v>15.8</v>
      </c>
      <c r="G55" s="37">
        <v>17.3</v>
      </c>
      <c r="H55" s="37">
        <v>18.7</v>
      </c>
      <c r="I55" s="37">
        <v>16.399999999999999</v>
      </c>
      <c r="J55" s="37">
        <v>16.399999999999999</v>
      </c>
      <c r="K55" s="37">
        <v>19</v>
      </c>
      <c r="L55" s="63">
        <v>22</v>
      </c>
      <c r="M55" s="53">
        <f t="shared" si="6"/>
        <v>4.7894736842105265</v>
      </c>
      <c r="N55" s="53">
        <f t="shared" si="4"/>
        <v>0.15789473684210525</v>
      </c>
      <c r="O55" s="53">
        <f t="shared" si="5"/>
        <v>0.27167630057803466</v>
      </c>
    </row>
    <row r="56" spans="1:15" ht="15">
      <c r="A56" s="10" t="s">
        <v>39</v>
      </c>
      <c r="B56" s="37">
        <v>4.8</v>
      </c>
      <c r="C56" s="37">
        <v>3.3</v>
      </c>
      <c r="D56" s="37">
        <v>4.5999999999999996</v>
      </c>
      <c r="E56" s="37">
        <v>6.1</v>
      </c>
      <c r="F56" s="37">
        <v>7.9</v>
      </c>
      <c r="G56" s="37">
        <v>9.1</v>
      </c>
      <c r="H56" s="37">
        <v>10.4</v>
      </c>
      <c r="I56" s="37">
        <v>9.4</v>
      </c>
      <c r="J56" s="37">
        <v>10.199999999999999</v>
      </c>
      <c r="K56" s="37">
        <v>12.2</v>
      </c>
      <c r="L56" s="63">
        <v>17.2</v>
      </c>
      <c r="M56" s="53">
        <f t="shared" si="6"/>
        <v>2.583333333333333</v>
      </c>
      <c r="N56" s="53">
        <f t="shared" si="4"/>
        <v>0.4098360655737705</v>
      </c>
      <c r="O56" s="53">
        <f t="shared" si="5"/>
        <v>0.89010989010989006</v>
      </c>
    </row>
    <row r="57" spans="1:15" ht="15">
      <c r="A57" s="10" t="s">
        <v>40</v>
      </c>
      <c r="B57" s="37">
        <v>2.5</v>
      </c>
      <c r="C57" s="37">
        <v>4.3</v>
      </c>
      <c r="D57" s="37">
        <v>2.9</v>
      </c>
      <c r="E57" s="37">
        <v>7.7</v>
      </c>
      <c r="F57" s="37">
        <v>7.7</v>
      </c>
      <c r="G57" s="37">
        <v>5.8</v>
      </c>
      <c r="H57" s="37">
        <v>8.6999999999999993</v>
      </c>
      <c r="I57" s="37">
        <v>7.6</v>
      </c>
      <c r="J57" s="37">
        <v>11.3</v>
      </c>
      <c r="K57" s="37">
        <v>12.2</v>
      </c>
      <c r="L57" s="63">
        <v>10.199999999999999</v>
      </c>
      <c r="M57" s="53">
        <f t="shared" si="6"/>
        <v>3.0799999999999996</v>
      </c>
      <c r="N57" s="53">
        <f t="shared" si="4"/>
        <v>-0.16393442622950821</v>
      </c>
      <c r="O57" s="53">
        <f t="shared" si="5"/>
        <v>0.75862068965517238</v>
      </c>
    </row>
    <row r="58" spans="1:15" ht="15">
      <c r="A58" s="10" t="s">
        <v>41</v>
      </c>
      <c r="B58" s="37">
        <v>1.6</v>
      </c>
      <c r="C58" s="37">
        <v>3.6</v>
      </c>
      <c r="D58" s="37">
        <v>3.8</v>
      </c>
      <c r="E58" s="37">
        <v>3.5</v>
      </c>
      <c r="F58" s="37">
        <v>5.7</v>
      </c>
      <c r="G58" s="37">
        <v>6</v>
      </c>
      <c r="H58" s="37">
        <v>8.1</v>
      </c>
      <c r="I58" s="37">
        <v>7.1</v>
      </c>
      <c r="J58" s="37">
        <v>8.1</v>
      </c>
      <c r="K58" s="37">
        <v>13.4</v>
      </c>
      <c r="L58" s="63">
        <v>19.3</v>
      </c>
      <c r="M58" s="53">
        <f t="shared" si="6"/>
        <v>11.062499999999998</v>
      </c>
      <c r="N58" s="53">
        <f t="shared" si="4"/>
        <v>0.44029850746268656</v>
      </c>
      <c r="O58" s="53">
        <f t="shared" si="5"/>
        <v>2.2166666666666668</v>
      </c>
    </row>
    <row r="59" spans="1:15" ht="15">
      <c r="A59" s="10" t="s">
        <v>42</v>
      </c>
      <c r="B59" s="37">
        <v>3.2</v>
      </c>
      <c r="C59" s="37">
        <v>3.1</v>
      </c>
      <c r="D59" s="37">
        <v>6.5</v>
      </c>
      <c r="E59" s="37">
        <v>6.2</v>
      </c>
      <c r="F59" s="37">
        <v>5.9</v>
      </c>
      <c r="G59" s="37">
        <v>7.7</v>
      </c>
      <c r="H59" s="37">
        <v>12.9</v>
      </c>
      <c r="I59" s="37">
        <v>8.5</v>
      </c>
      <c r="J59" s="37">
        <v>9.9</v>
      </c>
      <c r="K59" s="37">
        <v>10.4</v>
      </c>
      <c r="L59" s="63">
        <v>11.5</v>
      </c>
      <c r="M59" s="53">
        <f t="shared" si="6"/>
        <v>2.59375</v>
      </c>
      <c r="N59" s="53">
        <f t="shared" si="4"/>
        <v>0.10576923076923073</v>
      </c>
      <c r="O59" s="53">
        <f t="shared" si="5"/>
        <v>0.49350649350649345</v>
      </c>
    </row>
    <row r="60" spans="1:15" ht="15">
      <c r="A60" s="10" t="s">
        <v>43</v>
      </c>
      <c r="B60" s="37">
        <v>11.2</v>
      </c>
      <c r="C60" s="37">
        <v>11.6</v>
      </c>
      <c r="D60" s="37">
        <v>14.1</v>
      </c>
      <c r="E60" s="37">
        <v>12.9</v>
      </c>
      <c r="F60" s="37">
        <v>17.3</v>
      </c>
      <c r="G60" s="37">
        <v>21</v>
      </c>
      <c r="H60" s="37">
        <v>26.7</v>
      </c>
      <c r="I60" s="37">
        <v>20.100000000000001</v>
      </c>
      <c r="J60" s="37">
        <v>17.899999999999999</v>
      </c>
      <c r="K60" s="37">
        <v>16.2</v>
      </c>
      <c r="L60" s="63">
        <v>23.8</v>
      </c>
      <c r="M60" s="53">
        <f t="shared" si="6"/>
        <v>1.1250000000000002</v>
      </c>
      <c r="N60" s="53">
        <f t="shared" si="4"/>
        <v>0.46913580246913589</v>
      </c>
      <c r="O60" s="53">
        <f t="shared" si="5"/>
        <v>0.13333333333333336</v>
      </c>
    </row>
    <row r="61" spans="1:15" ht="15">
      <c r="A61" s="10" t="s">
        <v>44</v>
      </c>
      <c r="B61" s="37">
        <v>0.9</v>
      </c>
      <c r="C61" s="37">
        <v>0.7</v>
      </c>
      <c r="D61" s="37">
        <v>0</v>
      </c>
      <c r="E61" s="37">
        <v>1.4</v>
      </c>
      <c r="F61" s="37">
        <v>4.2</v>
      </c>
      <c r="G61" s="37">
        <v>6.2</v>
      </c>
      <c r="H61" s="37">
        <v>3.3</v>
      </c>
      <c r="I61" s="37">
        <v>4.3</v>
      </c>
      <c r="J61" s="37">
        <v>4.5</v>
      </c>
      <c r="K61" s="37">
        <v>8.6999999999999993</v>
      </c>
      <c r="L61" s="63">
        <v>9.6999999999999993</v>
      </c>
      <c r="M61" s="53">
        <f t="shared" si="6"/>
        <v>9.7777777777777768</v>
      </c>
      <c r="N61" s="53">
        <f t="shared" si="4"/>
        <v>0.1149425287356322</v>
      </c>
      <c r="O61" s="53">
        <f t="shared" si="5"/>
        <v>0.5645161290322579</v>
      </c>
    </row>
    <row r="62" spans="1:15" ht="15">
      <c r="A62" s="10" t="s">
        <v>45</v>
      </c>
      <c r="B62" s="37">
        <v>9.8000000000000007</v>
      </c>
      <c r="C62" s="37">
        <v>7.4</v>
      </c>
      <c r="D62" s="37">
        <v>0</v>
      </c>
      <c r="E62" s="37">
        <v>6</v>
      </c>
      <c r="F62" s="37">
        <v>14.7</v>
      </c>
      <c r="G62" s="37">
        <v>16.2</v>
      </c>
      <c r="H62" s="37">
        <v>32.9</v>
      </c>
      <c r="I62" s="37">
        <v>33.799999999999997</v>
      </c>
      <c r="J62" s="37">
        <v>24.6</v>
      </c>
      <c r="K62" s="37">
        <v>75.3</v>
      </c>
      <c r="L62" s="63">
        <v>62.2</v>
      </c>
      <c r="M62" s="53">
        <f t="shared" si="6"/>
        <v>5.3469387755102042</v>
      </c>
      <c r="N62" s="53">
        <f t="shared" si="4"/>
        <v>-0.17397078353253645</v>
      </c>
      <c r="O62" s="53">
        <f t="shared" si="5"/>
        <v>2.8395061728395063</v>
      </c>
    </row>
    <row r="63" spans="1:15" ht="15">
      <c r="A63" s="10" t="s">
        <v>46</v>
      </c>
      <c r="B63" s="37">
        <v>10.4</v>
      </c>
      <c r="C63" s="37">
        <v>15.1</v>
      </c>
      <c r="D63" s="37">
        <v>17.7</v>
      </c>
      <c r="E63" s="37">
        <v>15.6</v>
      </c>
      <c r="F63" s="37">
        <v>19.3</v>
      </c>
      <c r="G63" s="37">
        <v>24.7</v>
      </c>
      <c r="H63" s="37">
        <v>27.7</v>
      </c>
      <c r="I63" s="37">
        <v>23.5</v>
      </c>
      <c r="J63" s="37">
        <v>22.5</v>
      </c>
      <c r="K63" s="37">
        <v>22.9</v>
      </c>
      <c r="L63" s="63">
        <v>30.6</v>
      </c>
      <c r="M63" s="53">
        <f t="shared" si="6"/>
        <v>1.9423076923076925</v>
      </c>
      <c r="N63" s="53">
        <f t="shared" si="4"/>
        <v>0.33624454148471628</v>
      </c>
      <c r="O63" s="53">
        <f t="shared" si="5"/>
        <v>0.23886639676113369</v>
      </c>
    </row>
    <row r="64" spans="1:15" ht="15">
      <c r="A64" s="10" t="s">
        <v>47</v>
      </c>
      <c r="B64" s="37">
        <v>7.1</v>
      </c>
      <c r="C64" s="37">
        <v>3.8</v>
      </c>
      <c r="D64" s="37">
        <v>5.5</v>
      </c>
      <c r="E64" s="37">
        <v>7</v>
      </c>
      <c r="F64" s="37">
        <v>10.5</v>
      </c>
      <c r="G64" s="37">
        <v>11.3</v>
      </c>
      <c r="H64" s="37">
        <v>11.6</v>
      </c>
      <c r="I64" s="37">
        <v>10.3</v>
      </c>
      <c r="J64" s="37">
        <v>11.2</v>
      </c>
      <c r="K64" s="37">
        <v>13.9</v>
      </c>
      <c r="L64" s="63">
        <v>19.7</v>
      </c>
      <c r="M64" s="53">
        <f t="shared" si="6"/>
        <v>1.7746478873239437</v>
      </c>
      <c r="N64" s="53">
        <f t="shared" si="4"/>
        <v>0.41726618705035962</v>
      </c>
      <c r="O64" s="53">
        <f t="shared" si="5"/>
        <v>0.7433628318584069</v>
      </c>
    </row>
    <row r="65" spans="1:15" ht="15">
      <c r="A65" s="10" t="s">
        <v>48</v>
      </c>
      <c r="B65" s="37">
        <v>0</v>
      </c>
      <c r="C65" s="37">
        <v>0.9</v>
      </c>
      <c r="D65" s="37">
        <v>1.8</v>
      </c>
      <c r="E65" s="37">
        <v>0</v>
      </c>
      <c r="F65" s="37">
        <v>0.8</v>
      </c>
      <c r="G65" s="37">
        <v>2</v>
      </c>
      <c r="H65" s="37">
        <v>4.8</v>
      </c>
      <c r="I65" s="37">
        <v>6.7</v>
      </c>
      <c r="J65" s="37">
        <v>5.4</v>
      </c>
      <c r="K65" s="37">
        <v>6.8</v>
      </c>
      <c r="L65" s="63">
        <v>10.199999999999999</v>
      </c>
      <c r="M65" s="53" t="s">
        <v>62</v>
      </c>
      <c r="N65" s="53">
        <f t="shared" si="4"/>
        <v>0.49999999999999994</v>
      </c>
      <c r="O65" s="53">
        <f t="shared" si="5"/>
        <v>4.0999999999999996</v>
      </c>
    </row>
    <row r="66" spans="1:15" ht="15">
      <c r="A66" s="39" t="s">
        <v>49</v>
      </c>
      <c r="B66" s="42">
        <v>11.5</v>
      </c>
      <c r="C66" s="42">
        <v>9.5</v>
      </c>
      <c r="D66" s="42">
        <v>11</v>
      </c>
      <c r="E66" s="42">
        <v>64.2</v>
      </c>
      <c r="F66" s="42">
        <v>19.5</v>
      </c>
      <c r="G66" s="42">
        <v>14.6</v>
      </c>
      <c r="H66" s="42">
        <v>17.8</v>
      </c>
      <c r="I66" s="42">
        <v>7.5</v>
      </c>
      <c r="J66" s="42">
        <v>10</v>
      </c>
      <c r="K66" s="42">
        <v>14.8</v>
      </c>
      <c r="L66" s="64">
        <v>30.7</v>
      </c>
      <c r="M66" s="53">
        <f t="shared" si="6"/>
        <v>1.6695652173913043</v>
      </c>
      <c r="N66" s="53">
        <f t="shared" si="4"/>
        <v>1.0743243243243241</v>
      </c>
      <c r="O66" s="53">
        <f t="shared" si="5"/>
        <v>1.1027397260273974</v>
      </c>
    </row>
    <row r="67" spans="1:15" ht="15">
      <c r="A67" s="57" t="s">
        <v>66</v>
      </c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</row>
    <row r="68" spans="1:15">
      <c r="A68" s="65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>
      <c r="A69" s="4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</sheetData>
  <mergeCells count="4">
    <mergeCell ref="B2:L2"/>
    <mergeCell ref="M2:O2"/>
    <mergeCell ref="B37:L37"/>
    <mergeCell ref="M37:O37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F024-8640-8349-92D2-19A1FC42FF51}">
  <dimension ref="A2:B31"/>
  <sheetViews>
    <sheetView topLeftCell="A2" workbookViewId="0">
      <selection activeCell="J29" sqref="J29"/>
    </sheetView>
  </sheetViews>
  <sheetFormatPr defaultColWidth="11.375" defaultRowHeight="14.25"/>
  <cols>
    <col min="1" max="1" width="25.875" bestFit="1" customWidth="1"/>
    <col min="2" max="2" width="29" customWidth="1"/>
  </cols>
  <sheetData>
    <row r="2" spans="1:2" ht="47.25">
      <c r="A2" s="67"/>
      <c r="B2" s="69" t="s">
        <v>67</v>
      </c>
    </row>
    <row r="3" spans="1:2" ht="15">
      <c r="A3" s="68" t="s">
        <v>44</v>
      </c>
      <c r="B3" s="70">
        <v>9.4903945703439553E-3</v>
      </c>
    </row>
    <row r="4" spans="1:2" ht="15">
      <c r="A4" s="68" t="s">
        <v>23</v>
      </c>
      <c r="B4" s="70">
        <v>1.8405613712182216E-3</v>
      </c>
    </row>
    <row r="5" spans="1:2" ht="15">
      <c r="A5" s="68" t="s">
        <v>26</v>
      </c>
      <c r="B5" s="70">
        <v>1.7312780398021397E-2</v>
      </c>
    </row>
    <row r="6" spans="1:2" ht="15">
      <c r="A6" s="68" t="s">
        <v>45</v>
      </c>
      <c r="B6" s="70">
        <v>7.7648682848268724E-3</v>
      </c>
    </row>
    <row r="7" spans="1:2" ht="15">
      <c r="A7" s="68" t="s">
        <v>36</v>
      </c>
      <c r="B7" s="70">
        <v>4.3138157137927069E-2</v>
      </c>
    </row>
    <row r="8" spans="1:2" ht="15">
      <c r="A8" s="68" t="s">
        <v>25</v>
      </c>
      <c r="B8" s="70">
        <v>3.6236051995858737E-3</v>
      </c>
    </row>
    <row r="9" spans="1:2" ht="15">
      <c r="A9" s="68" t="s">
        <v>49</v>
      </c>
      <c r="B9" s="70">
        <v>1.000805245599908E-2</v>
      </c>
    </row>
    <row r="10" spans="1:2" ht="15">
      <c r="A10" s="68" t="s">
        <v>32</v>
      </c>
      <c r="B10" s="70">
        <v>2.4502473254342575E-2</v>
      </c>
    </row>
    <row r="11" spans="1:2" ht="15">
      <c r="A11" s="68" t="s">
        <v>40</v>
      </c>
      <c r="B11" s="70">
        <v>1.1330955941562176E-2</v>
      </c>
    </row>
    <row r="12" spans="1:2" ht="15">
      <c r="A12" s="68" t="s">
        <v>28</v>
      </c>
      <c r="B12" s="70">
        <v>2.9046359139537559E-2</v>
      </c>
    </row>
    <row r="13" spans="1:2" ht="15">
      <c r="A13" s="68" t="s">
        <v>42</v>
      </c>
      <c r="B13" s="70">
        <v>1.610491199815944E-2</v>
      </c>
    </row>
    <row r="14" spans="1:2" ht="15">
      <c r="A14" s="68" t="s">
        <v>37</v>
      </c>
      <c r="B14" s="70">
        <v>1.8233061083630507E-2</v>
      </c>
    </row>
    <row r="15" spans="1:2" ht="15">
      <c r="A15" s="68" t="s">
        <v>39</v>
      </c>
      <c r="B15" s="70">
        <v>3.9054411595536638E-2</v>
      </c>
    </row>
    <row r="16" spans="1:2" ht="15">
      <c r="A16" s="68" t="s">
        <v>24</v>
      </c>
      <c r="B16" s="70">
        <v>2.9506499482342113E-2</v>
      </c>
    </row>
    <row r="17" spans="1:2" ht="15">
      <c r="A17" s="68" t="s">
        <v>48</v>
      </c>
      <c r="B17" s="70">
        <v>1.3401587484182676E-2</v>
      </c>
    </row>
    <row r="18" spans="1:2" ht="15">
      <c r="A18" s="68" t="s">
        <v>27</v>
      </c>
      <c r="B18" s="70">
        <v>0.10025307718854251</v>
      </c>
    </row>
    <row r="19" spans="1:2" ht="15">
      <c r="A19" s="68" t="s">
        <v>35</v>
      </c>
      <c r="B19" s="70">
        <v>9.6571954446106056E-2</v>
      </c>
    </row>
    <row r="20" spans="1:2" ht="15">
      <c r="A20" s="68" t="s">
        <v>30</v>
      </c>
      <c r="B20" s="70">
        <v>1.7715403197975384E-2</v>
      </c>
    </row>
    <row r="21" spans="1:2" ht="15">
      <c r="A21" s="68" t="s">
        <v>41</v>
      </c>
      <c r="B21" s="70">
        <v>6.372943747843092E-2</v>
      </c>
    </row>
    <row r="22" spans="1:2" ht="15">
      <c r="A22" s="68" t="s">
        <v>47</v>
      </c>
      <c r="B22" s="70">
        <v>0.20154147014839527</v>
      </c>
    </row>
    <row r="23" spans="1:2" ht="15">
      <c r="A23" s="68" t="s">
        <v>38</v>
      </c>
      <c r="B23" s="70">
        <v>4.911998159438629E-2</v>
      </c>
    </row>
    <row r="24" spans="1:2" ht="15">
      <c r="A24" s="68" t="s">
        <v>46</v>
      </c>
      <c r="B24" s="70">
        <v>2.4387438168641435E-2</v>
      </c>
    </row>
    <row r="25" spans="1:2" ht="15">
      <c r="A25" s="68" t="s">
        <v>43</v>
      </c>
      <c r="B25" s="70">
        <v>4.7969630737374896E-2</v>
      </c>
    </row>
    <row r="26" spans="1:2" ht="15">
      <c r="A26" s="68" t="s">
        <v>34</v>
      </c>
      <c r="B26" s="70">
        <v>2.3352122397331185E-2</v>
      </c>
    </row>
    <row r="27" spans="1:2" ht="15">
      <c r="A27" s="68" t="s">
        <v>33</v>
      </c>
      <c r="B27" s="70">
        <v>2.7723455653974462E-2</v>
      </c>
    </row>
    <row r="28" spans="1:2" ht="15">
      <c r="A28" s="68" t="s">
        <v>31</v>
      </c>
      <c r="B28" s="70">
        <v>5.8150235821925689E-2</v>
      </c>
    </row>
    <row r="29" spans="1:2" ht="15">
      <c r="A29" s="68" t="s">
        <v>29</v>
      </c>
      <c r="B29" s="70">
        <v>1.5127113769699758E-2</v>
      </c>
    </row>
    <row r="30" spans="1:2">
      <c r="A30" s="67"/>
      <c r="B30" s="71"/>
    </row>
    <row r="31" spans="1:2">
      <c r="A31" s="67" t="s">
        <v>68</v>
      </c>
      <c r="B31" s="67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85948-0AE5-8C40-8041-D983D27BA76D}">
  <dimension ref="A1:I21"/>
  <sheetViews>
    <sheetView workbookViewId="0">
      <selection activeCell="N18" sqref="N18"/>
    </sheetView>
  </sheetViews>
  <sheetFormatPr defaultColWidth="11.375" defaultRowHeight="14.25"/>
  <sheetData>
    <row r="1" spans="1:9" ht="42.95" customHeight="1" thickBot="1">
      <c r="A1" s="109" t="s">
        <v>84</v>
      </c>
      <c r="B1" s="109"/>
      <c r="C1" s="109"/>
      <c r="D1" s="109"/>
      <c r="E1" s="109"/>
      <c r="F1" s="109"/>
      <c r="G1" s="109"/>
      <c r="H1" s="109"/>
      <c r="I1" s="109"/>
    </row>
    <row r="2" spans="1:9" ht="129" thickBot="1">
      <c r="A2" s="73"/>
      <c r="B2" s="74"/>
      <c r="C2" s="75" t="s">
        <v>69</v>
      </c>
      <c r="D2" s="75" t="s">
        <v>70</v>
      </c>
      <c r="E2" s="75" t="s">
        <v>71</v>
      </c>
      <c r="F2" s="75" t="s">
        <v>72</v>
      </c>
      <c r="G2" s="75" t="s">
        <v>73</v>
      </c>
      <c r="H2" s="75" t="s">
        <v>74</v>
      </c>
      <c r="I2" s="75" t="s">
        <v>75</v>
      </c>
    </row>
    <row r="3" spans="1:9" ht="15.75" thickBot="1">
      <c r="A3" s="110" t="s">
        <v>22</v>
      </c>
      <c r="B3" s="76" t="s">
        <v>75</v>
      </c>
      <c r="C3" s="77">
        <v>0.311</v>
      </c>
      <c r="D3" s="77">
        <v>0.38700000000000001</v>
      </c>
      <c r="E3" s="77">
        <v>5.8999999999999997E-2</v>
      </c>
      <c r="F3" s="77">
        <v>8.5999999999999993E-2</v>
      </c>
      <c r="G3" s="77">
        <v>1.7999999999999999E-2</v>
      </c>
      <c r="H3" s="77">
        <v>0.13800000000000001</v>
      </c>
      <c r="I3" s="78">
        <v>1</v>
      </c>
    </row>
    <row r="4" spans="1:9" ht="15.75" thickBot="1">
      <c r="A4" s="111"/>
      <c r="B4" s="79" t="s">
        <v>76</v>
      </c>
      <c r="C4" s="80">
        <v>0.29899999999999999</v>
      </c>
      <c r="D4" s="80">
        <v>0.39700000000000002</v>
      </c>
      <c r="E4" s="80">
        <v>5.8000000000000003E-2</v>
      </c>
      <c r="F4" s="80">
        <v>8.5999999999999993E-2</v>
      </c>
      <c r="G4" s="80">
        <v>2.1000000000000001E-2</v>
      </c>
      <c r="H4" s="80">
        <v>0.13800000000000001</v>
      </c>
      <c r="I4" s="78">
        <v>1</v>
      </c>
    </row>
    <row r="5" spans="1:9" ht="15.75" thickBot="1">
      <c r="A5" s="112"/>
      <c r="B5" s="79" t="s">
        <v>77</v>
      </c>
      <c r="C5" s="80">
        <v>0.33400000000000002</v>
      </c>
      <c r="D5" s="80">
        <v>0.36799999999999999</v>
      </c>
      <c r="E5" s="80">
        <v>0.06</v>
      </c>
      <c r="F5" s="80">
        <v>8.6999999999999994E-2</v>
      </c>
      <c r="G5" s="80">
        <v>1.2999999999999999E-2</v>
      </c>
      <c r="H5" s="80">
        <v>0.13900000000000001</v>
      </c>
      <c r="I5" s="78">
        <v>1</v>
      </c>
    </row>
    <row r="6" spans="1:9" ht="15.75" thickBot="1">
      <c r="A6" s="110" t="s">
        <v>78</v>
      </c>
      <c r="B6" s="76" t="s">
        <v>75</v>
      </c>
      <c r="C6" s="77">
        <v>0.29399999999999998</v>
      </c>
      <c r="D6" s="77">
        <v>0.42599999999999999</v>
      </c>
      <c r="E6" s="77">
        <v>3.3000000000000002E-2</v>
      </c>
      <c r="F6" s="77">
        <v>7.0999999999999994E-2</v>
      </c>
      <c r="G6" s="77">
        <v>3.2000000000000001E-2</v>
      </c>
      <c r="H6" s="77">
        <v>0.14399999999999999</v>
      </c>
      <c r="I6" s="78">
        <v>1</v>
      </c>
    </row>
    <row r="7" spans="1:9" ht="15.75" thickBot="1">
      <c r="A7" s="111"/>
      <c r="B7" s="76" t="s">
        <v>76</v>
      </c>
      <c r="C7" s="80">
        <v>0.28599999999999998</v>
      </c>
      <c r="D7" s="80">
        <v>0.42799999999999999</v>
      </c>
      <c r="E7" s="80">
        <v>3.3000000000000002E-2</v>
      </c>
      <c r="F7" s="80">
        <v>7.2999999999999995E-2</v>
      </c>
      <c r="G7" s="80">
        <v>3.5999999999999997E-2</v>
      </c>
      <c r="H7" s="80">
        <v>0.14399999999999999</v>
      </c>
      <c r="I7" s="78">
        <v>1</v>
      </c>
    </row>
    <row r="8" spans="1:9" ht="15.75" thickBot="1">
      <c r="A8" s="112"/>
      <c r="B8" s="76" t="s">
        <v>77</v>
      </c>
      <c r="C8" s="80">
        <v>0.311</v>
      </c>
      <c r="D8" s="80">
        <v>0.42099999999999999</v>
      </c>
      <c r="E8" s="80">
        <v>3.3000000000000002E-2</v>
      </c>
      <c r="F8" s="80">
        <v>6.7000000000000004E-2</v>
      </c>
      <c r="G8" s="80">
        <v>2.1999999999999999E-2</v>
      </c>
      <c r="H8" s="80">
        <v>0.14599999999999999</v>
      </c>
      <c r="I8" s="78">
        <v>1</v>
      </c>
    </row>
    <row r="9" spans="1:9" ht="15.75" thickBot="1">
      <c r="A9" s="110" t="s">
        <v>79</v>
      </c>
      <c r="B9" s="76" t="s">
        <v>75</v>
      </c>
      <c r="C9" s="77">
        <v>0.36899999999999999</v>
      </c>
      <c r="D9" s="77">
        <v>0.36</v>
      </c>
      <c r="E9" s="77">
        <v>6.7000000000000004E-2</v>
      </c>
      <c r="F9" s="77">
        <v>6.3E-2</v>
      </c>
      <c r="G9" s="77">
        <v>0.01</v>
      </c>
      <c r="H9" s="77">
        <v>0.13100000000000001</v>
      </c>
      <c r="I9" s="78">
        <v>1</v>
      </c>
    </row>
    <row r="10" spans="1:9" ht="15.75" thickBot="1">
      <c r="A10" s="111"/>
      <c r="B10" s="76" t="s">
        <v>76</v>
      </c>
      <c r="C10" s="80">
        <v>0.34799999999999998</v>
      </c>
      <c r="D10" s="80">
        <v>0.36899999999999999</v>
      </c>
      <c r="E10" s="80">
        <v>6.8000000000000005E-2</v>
      </c>
      <c r="F10" s="80">
        <v>6.9000000000000006E-2</v>
      </c>
      <c r="G10" s="80">
        <v>0.01</v>
      </c>
      <c r="H10" s="80">
        <v>0.13500000000000001</v>
      </c>
      <c r="I10" s="78">
        <v>1</v>
      </c>
    </row>
    <row r="11" spans="1:9" ht="15.75" thickBot="1">
      <c r="A11" s="112"/>
      <c r="B11" s="76" t="s">
        <v>77</v>
      </c>
      <c r="C11" s="80">
        <v>0.41199999999999998</v>
      </c>
      <c r="D11" s="80">
        <v>0.33900000000000002</v>
      </c>
      <c r="E11" s="80">
        <v>6.5000000000000002E-2</v>
      </c>
      <c r="F11" s="80">
        <v>5.0999999999999997E-2</v>
      </c>
      <c r="G11" s="80">
        <v>8.9999999999999993E-3</v>
      </c>
      <c r="H11" s="80">
        <v>0.123</v>
      </c>
      <c r="I11" s="78">
        <v>1</v>
      </c>
    </row>
    <row r="12" spans="1:9" ht="15.75" thickBot="1">
      <c r="A12" s="110" t="s">
        <v>80</v>
      </c>
      <c r="B12" s="76" t="s">
        <v>75</v>
      </c>
      <c r="C12" s="77">
        <v>0.26400000000000001</v>
      </c>
      <c r="D12" s="77">
        <v>0.372</v>
      </c>
      <c r="E12" s="77">
        <v>7.2999999999999995E-2</v>
      </c>
      <c r="F12" s="77">
        <v>0.124</v>
      </c>
      <c r="G12" s="77">
        <v>1.7000000000000001E-2</v>
      </c>
      <c r="H12" s="77">
        <v>0.14899999999999999</v>
      </c>
      <c r="I12" s="78">
        <v>1</v>
      </c>
    </row>
    <row r="13" spans="1:9" ht="15.75" thickBot="1">
      <c r="A13" s="111"/>
      <c r="B13" s="76" t="s">
        <v>76</v>
      </c>
      <c r="C13" s="80">
        <v>0.253</v>
      </c>
      <c r="D13" s="80">
        <v>0.39600000000000002</v>
      </c>
      <c r="E13" s="80">
        <v>7.0000000000000007E-2</v>
      </c>
      <c r="F13" s="80">
        <v>0.11600000000000001</v>
      </c>
      <c r="G13" s="80">
        <v>0.02</v>
      </c>
      <c r="H13" s="80">
        <v>0.14499999999999999</v>
      </c>
      <c r="I13" s="78">
        <v>1</v>
      </c>
    </row>
    <row r="14" spans="1:9" ht="15.75" thickBot="1">
      <c r="A14" s="112"/>
      <c r="B14" s="76" t="s">
        <v>77</v>
      </c>
      <c r="C14" s="80">
        <v>0.28499999999999998</v>
      </c>
      <c r="D14" s="80">
        <v>0.32900000000000001</v>
      </c>
      <c r="E14" s="80">
        <v>0.08</v>
      </c>
      <c r="F14" s="80">
        <v>0.13800000000000001</v>
      </c>
      <c r="G14" s="80">
        <v>1.0999999999999999E-2</v>
      </c>
      <c r="H14" s="80">
        <v>0.157</v>
      </c>
      <c r="I14" s="78">
        <v>1</v>
      </c>
    </row>
    <row r="15" spans="1:9" ht="15.75" thickBot="1">
      <c r="A15" s="110" t="s">
        <v>81</v>
      </c>
      <c r="B15" s="76" t="s">
        <v>75</v>
      </c>
      <c r="C15" s="77">
        <v>0.16800000000000001</v>
      </c>
      <c r="D15" s="77">
        <v>0.503</v>
      </c>
      <c r="E15" s="77">
        <v>5.6000000000000001E-2</v>
      </c>
      <c r="F15" s="77">
        <v>8.5999999999999993E-2</v>
      </c>
      <c r="G15" s="77">
        <v>3.9E-2</v>
      </c>
      <c r="H15" s="77">
        <v>0.14799999999999999</v>
      </c>
      <c r="I15" s="78">
        <v>1</v>
      </c>
    </row>
    <row r="16" spans="1:9" ht="15.75" thickBot="1">
      <c r="A16" s="111"/>
      <c r="B16" s="76" t="s">
        <v>76</v>
      </c>
      <c r="C16" s="80">
        <v>0.17399999999999999</v>
      </c>
      <c r="D16" s="80">
        <v>0.47799999999999998</v>
      </c>
      <c r="E16" s="80">
        <v>5.8000000000000003E-2</v>
      </c>
      <c r="F16" s="80">
        <v>9.5000000000000001E-2</v>
      </c>
      <c r="G16" s="80">
        <v>4.7E-2</v>
      </c>
      <c r="H16" s="80">
        <v>0.14799999999999999</v>
      </c>
      <c r="I16" s="78">
        <v>1</v>
      </c>
    </row>
    <row r="17" spans="1:9" ht="15.75" thickBot="1">
      <c r="A17" s="112"/>
      <c r="B17" s="76" t="s">
        <v>77</v>
      </c>
      <c r="C17" s="80">
        <v>0.157</v>
      </c>
      <c r="D17" s="80">
        <v>0.54900000000000004</v>
      </c>
      <c r="E17" s="80">
        <v>5.1999999999999998E-2</v>
      </c>
      <c r="F17" s="80">
        <v>6.9000000000000006E-2</v>
      </c>
      <c r="G17" s="80">
        <v>2.4E-2</v>
      </c>
      <c r="H17" s="80">
        <v>0.14899999999999999</v>
      </c>
      <c r="I17" s="78">
        <v>1</v>
      </c>
    </row>
    <row r="18" spans="1:9" ht="15.75" thickBot="1">
      <c r="A18" s="110" t="s">
        <v>82</v>
      </c>
      <c r="B18" s="76" t="s">
        <v>75</v>
      </c>
      <c r="C18" s="77">
        <v>0.47499999999999998</v>
      </c>
      <c r="D18" s="77">
        <v>0.35299999999999998</v>
      </c>
      <c r="E18" s="77">
        <v>1.9E-2</v>
      </c>
      <c r="F18" s="77">
        <v>3.5000000000000003E-2</v>
      </c>
      <c r="G18" s="77">
        <v>0.01</v>
      </c>
      <c r="H18" s="77">
        <v>0.106</v>
      </c>
      <c r="I18" s="78">
        <v>1</v>
      </c>
    </row>
    <row r="19" spans="1:9" ht="15.75" thickBot="1">
      <c r="A19" s="111"/>
      <c r="B19" s="76" t="s">
        <v>76</v>
      </c>
      <c r="C19" s="80">
        <v>0.45300000000000001</v>
      </c>
      <c r="D19" s="80">
        <v>0.36399999999999999</v>
      </c>
      <c r="E19" s="80">
        <v>2.1000000000000001E-2</v>
      </c>
      <c r="F19" s="80">
        <v>3.9E-2</v>
      </c>
      <c r="G19" s="80">
        <v>1.2E-2</v>
      </c>
      <c r="H19" s="80">
        <v>0.111</v>
      </c>
      <c r="I19" s="78">
        <v>1</v>
      </c>
    </row>
    <row r="20" spans="1:9" ht="15.75" thickBot="1">
      <c r="A20" s="112"/>
      <c r="B20" s="76" t="s">
        <v>77</v>
      </c>
      <c r="C20" s="80">
        <v>0.51500000000000001</v>
      </c>
      <c r="D20" s="80">
        <v>0.33400000000000002</v>
      </c>
      <c r="E20" s="80">
        <v>1.7000000000000001E-2</v>
      </c>
      <c r="F20" s="80">
        <v>2.8000000000000001E-2</v>
      </c>
      <c r="G20" s="80">
        <v>8.0000000000000002E-3</v>
      </c>
      <c r="H20" s="80">
        <v>9.8000000000000004E-2</v>
      </c>
      <c r="I20" s="78">
        <v>1</v>
      </c>
    </row>
    <row r="21" spans="1:9" ht="15">
      <c r="A21" s="108" t="s">
        <v>83</v>
      </c>
      <c r="B21" s="108"/>
      <c r="C21" s="108"/>
      <c r="D21" s="108"/>
      <c r="E21" s="72"/>
      <c r="F21" s="72"/>
      <c r="G21" s="72"/>
      <c r="H21" s="72"/>
      <c r="I21" s="72"/>
    </row>
  </sheetData>
  <mergeCells count="8">
    <mergeCell ref="A21:D21"/>
    <mergeCell ref="A1:I1"/>
    <mergeCell ref="A3:A5"/>
    <mergeCell ref="A6:A8"/>
    <mergeCell ref="A9:A11"/>
    <mergeCell ref="A12:A14"/>
    <mergeCell ref="A15:A17"/>
    <mergeCell ref="A18:A20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A79E-4611-0242-87FA-67C5C323E8E5}">
  <dimension ref="A1:J33"/>
  <sheetViews>
    <sheetView workbookViewId="0">
      <selection activeCell="L10" sqref="L10"/>
    </sheetView>
  </sheetViews>
  <sheetFormatPr defaultColWidth="11.375" defaultRowHeight="14.25"/>
  <sheetData>
    <row r="1" spans="1:10" ht="15.75" thickBot="1">
      <c r="A1" s="115" t="s">
        <v>91</v>
      </c>
      <c r="B1" s="115"/>
      <c r="C1" s="115"/>
      <c r="D1" s="115"/>
      <c r="E1" s="115"/>
      <c r="F1" s="115"/>
      <c r="G1" s="115"/>
      <c r="H1" s="115"/>
      <c r="I1" s="115"/>
      <c r="J1" s="115"/>
    </row>
    <row r="2" spans="1:10">
      <c r="A2" s="81"/>
      <c r="B2" s="113" t="s">
        <v>85</v>
      </c>
      <c r="C2" s="113"/>
      <c r="D2" s="113"/>
      <c r="E2" s="114" t="s">
        <v>86</v>
      </c>
      <c r="F2" s="114"/>
      <c r="G2" s="114"/>
      <c r="H2" s="113" t="s">
        <v>87</v>
      </c>
      <c r="I2" s="113"/>
      <c r="J2" s="113"/>
    </row>
    <row r="3" spans="1:10" ht="15" thickBot="1">
      <c r="A3" s="82" t="s">
        <v>88</v>
      </c>
      <c r="B3" s="83" t="s">
        <v>89</v>
      </c>
      <c r="C3" s="83" t="s">
        <v>90</v>
      </c>
      <c r="D3" s="83" t="s">
        <v>87</v>
      </c>
      <c r="E3" s="83" t="s">
        <v>89</v>
      </c>
      <c r="F3" s="83" t="s">
        <v>90</v>
      </c>
      <c r="G3" s="83" t="s">
        <v>87</v>
      </c>
      <c r="H3" s="83" t="s">
        <v>89</v>
      </c>
      <c r="I3" s="83" t="s">
        <v>90</v>
      </c>
      <c r="J3" s="83" t="s">
        <v>87</v>
      </c>
    </row>
    <row r="4" spans="1:10">
      <c r="A4" s="84" t="s">
        <v>22</v>
      </c>
      <c r="B4" s="85">
        <v>15193</v>
      </c>
      <c r="C4" s="85">
        <v>4270</v>
      </c>
      <c r="D4" s="85">
        <v>19463</v>
      </c>
      <c r="E4" s="85">
        <v>8725</v>
      </c>
      <c r="F4" s="85">
        <v>2556</v>
      </c>
      <c r="G4" s="85">
        <v>11281</v>
      </c>
      <c r="H4" s="85">
        <v>23924</v>
      </c>
      <c r="I4" s="85">
        <v>6827</v>
      </c>
      <c r="J4" s="85">
        <v>30751</v>
      </c>
    </row>
    <row r="5" spans="1:10">
      <c r="A5" s="86" t="s">
        <v>23</v>
      </c>
      <c r="B5" s="87">
        <v>20</v>
      </c>
      <c r="C5" s="87">
        <v>1</v>
      </c>
      <c r="D5" s="87">
        <v>21</v>
      </c>
      <c r="E5" s="87">
        <v>2</v>
      </c>
      <c r="F5" s="87">
        <v>0</v>
      </c>
      <c r="G5" s="87">
        <v>2</v>
      </c>
      <c r="H5" s="87">
        <v>22</v>
      </c>
      <c r="I5" s="87">
        <v>1</v>
      </c>
      <c r="J5" s="87">
        <v>23</v>
      </c>
    </row>
    <row r="6" spans="1:10">
      <c r="A6" s="86" t="s">
        <v>24</v>
      </c>
      <c r="B6" s="87">
        <v>115</v>
      </c>
      <c r="C6" s="87">
        <v>8</v>
      </c>
      <c r="D6" s="87">
        <v>123</v>
      </c>
      <c r="E6" s="87">
        <v>17</v>
      </c>
      <c r="F6" s="87">
        <v>3</v>
      </c>
      <c r="G6" s="87">
        <v>20</v>
      </c>
      <c r="H6" s="87">
        <v>132</v>
      </c>
      <c r="I6" s="87">
        <v>11</v>
      </c>
      <c r="J6" s="87">
        <v>143</v>
      </c>
    </row>
    <row r="7" spans="1:10">
      <c r="A7" s="86" t="s">
        <v>25</v>
      </c>
      <c r="B7" s="87">
        <v>19</v>
      </c>
      <c r="C7" s="87">
        <v>6</v>
      </c>
      <c r="D7" s="87">
        <v>25</v>
      </c>
      <c r="E7" s="87">
        <v>3</v>
      </c>
      <c r="F7" s="87">
        <v>1</v>
      </c>
      <c r="G7" s="87">
        <v>4</v>
      </c>
      <c r="H7" s="87">
        <v>22</v>
      </c>
      <c r="I7" s="87">
        <v>7</v>
      </c>
      <c r="J7" s="87">
        <v>29</v>
      </c>
    </row>
    <row r="8" spans="1:10">
      <c r="A8" s="86" t="s">
        <v>26</v>
      </c>
      <c r="B8" s="87">
        <v>191</v>
      </c>
      <c r="C8" s="87">
        <v>20</v>
      </c>
      <c r="D8" s="87">
        <v>211</v>
      </c>
      <c r="E8" s="87">
        <v>21</v>
      </c>
      <c r="F8" s="87">
        <v>4</v>
      </c>
      <c r="G8" s="87">
        <v>25</v>
      </c>
      <c r="H8" s="87">
        <v>212</v>
      </c>
      <c r="I8" s="87">
        <v>24</v>
      </c>
      <c r="J8" s="87">
        <v>236</v>
      </c>
    </row>
    <row r="9" spans="1:10">
      <c r="A9" s="86" t="s">
        <v>27</v>
      </c>
      <c r="B9" s="87">
        <v>763</v>
      </c>
      <c r="C9" s="87">
        <v>106</v>
      </c>
      <c r="D9" s="87">
        <v>869</v>
      </c>
      <c r="E9" s="87">
        <v>55</v>
      </c>
      <c r="F9" s="87">
        <v>14</v>
      </c>
      <c r="G9" s="87">
        <v>69</v>
      </c>
      <c r="H9" s="87">
        <v>820</v>
      </c>
      <c r="I9" s="87">
        <v>120</v>
      </c>
      <c r="J9" s="87">
        <v>940</v>
      </c>
    </row>
    <row r="10" spans="1:10">
      <c r="A10" s="86" t="s">
        <v>28</v>
      </c>
      <c r="B10" s="87">
        <v>616</v>
      </c>
      <c r="C10" s="87">
        <v>101</v>
      </c>
      <c r="D10" s="87">
        <v>717</v>
      </c>
      <c r="E10" s="87">
        <v>173</v>
      </c>
      <c r="F10" s="87">
        <v>17</v>
      </c>
      <c r="G10" s="87">
        <v>190</v>
      </c>
      <c r="H10" s="87">
        <v>789</v>
      </c>
      <c r="I10" s="87">
        <v>118</v>
      </c>
      <c r="J10" s="87">
        <v>907</v>
      </c>
    </row>
    <row r="11" spans="1:10">
      <c r="A11" s="86" t="s">
        <v>29</v>
      </c>
      <c r="B11" s="87">
        <v>447</v>
      </c>
      <c r="C11" s="87">
        <v>45</v>
      </c>
      <c r="D11" s="87">
        <v>492</v>
      </c>
      <c r="E11" s="87">
        <v>134</v>
      </c>
      <c r="F11" s="87">
        <v>14</v>
      </c>
      <c r="G11" s="87">
        <v>148</v>
      </c>
      <c r="H11" s="87">
        <v>581</v>
      </c>
      <c r="I11" s="87">
        <v>60</v>
      </c>
      <c r="J11" s="87">
        <v>641</v>
      </c>
    </row>
    <row r="12" spans="1:10">
      <c r="A12" s="86" t="s">
        <v>30</v>
      </c>
      <c r="B12" s="87">
        <v>194</v>
      </c>
      <c r="C12" s="87">
        <v>18</v>
      </c>
      <c r="D12" s="87">
        <v>212</v>
      </c>
      <c r="E12" s="87">
        <v>55</v>
      </c>
      <c r="F12" s="87">
        <v>6</v>
      </c>
      <c r="G12" s="87">
        <v>61</v>
      </c>
      <c r="H12" s="87">
        <v>249</v>
      </c>
      <c r="I12" s="87">
        <v>24</v>
      </c>
      <c r="J12" s="87">
        <v>273</v>
      </c>
    </row>
    <row r="13" spans="1:10">
      <c r="A13" s="86" t="s">
        <v>31</v>
      </c>
      <c r="B13" s="87">
        <v>255</v>
      </c>
      <c r="C13" s="87">
        <v>25</v>
      </c>
      <c r="D13" s="87">
        <v>280</v>
      </c>
      <c r="E13" s="87">
        <v>76</v>
      </c>
      <c r="F13" s="87">
        <v>12</v>
      </c>
      <c r="G13" s="87">
        <v>88</v>
      </c>
      <c r="H13" s="87">
        <v>331</v>
      </c>
      <c r="I13" s="87">
        <v>37</v>
      </c>
      <c r="J13" s="87">
        <v>368</v>
      </c>
    </row>
    <row r="14" spans="1:10">
      <c r="A14" s="86" t="s">
        <v>32</v>
      </c>
      <c r="B14" s="87">
        <v>138</v>
      </c>
      <c r="C14" s="87">
        <v>17</v>
      </c>
      <c r="D14" s="87">
        <v>155</v>
      </c>
      <c r="E14" s="87">
        <v>18</v>
      </c>
      <c r="F14" s="87">
        <v>4</v>
      </c>
      <c r="G14" s="87">
        <v>22</v>
      </c>
      <c r="H14" s="87">
        <v>156</v>
      </c>
      <c r="I14" s="87">
        <v>21</v>
      </c>
      <c r="J14" s="87">
        <v>177</v>
      </c>
    </row>
    <row r="15" spans="1:10">
      <c r="A15" s="86" t="s">
        <v>33</v>
      </c>
      <c r="B15" s="87">
        <v>241</v>
      </c>
      <c r="C15" s="87">
        <v>19</v>
      </c>
      <c r="D15" s="87">
        <v>260</v>
      </c>
      <c r="E15" s="87">
        <v>70</v>
      </c>
      <c r="F15" s="87">
        <v>3</v>
      </c>
      <c r="G15" s="87">
        <v>73</v>
      </c>
      <c r="H15" s="87">
        <v>311</v>
      </c>
      <c r="I15" s="87">
        <v>22</v>
      </c>
      <c r="J15" s="87">
        <v>333</v>
      </c>
    </row>
    <row r="16" spans="1:10" ht="22.5">
      <c r="A16" s="86" t="s">
        <v>34</v>
      </c>
      <c r="B16" s="87">
        <v>86</v>
      </c>
      <c r="C16" s="87">
        <v>3</v>
      </c>
      <c r="D16" s="87">
        <v>89</v>
      </c>
      <c r="E16" s="87">
        <v>36</v>
      </c>
      <c r="F16" s="87">
        <v>3</v>
      </c>
      <c r="G16" s="87">
        <v>39</v>
      </c>
      <c r="H16" s="87">
        <v>123</v>
      </c>
      <c r="I16" s="87">
        <v>6</v>
      </c>
      <c r="J16" s="87">
        <v>129</v>
      </c>
    </row>
    <row r="17" spans="1:10">
      <c r="A17" s="86" t="s">
        <v>35</v>
      </c>
      <c r="B17" s="88">
        <v>1478</v>
      </c>
      <c r="C17" s="87">
        <v>131</v>
      </c>
      <c r="D17" s="88">
        <v>1609</v>
      </c>
      <c r="E17" s="87">
        <v>515</v>
      </c>
      <c r="F17" s="87">
        <v>61</v>
      </c>
      <c r="G17" s="87">
        <v>576</v>
      </c>
      <c r="H17" s="88">
        <v>1993</v>
      </c>
      <c r="I17" s="87">
        <v>192</v>
      </c>
      <c r="J17" s="88">
        <v>2185</v>
      </c>
    </row>
    <row r="18" spans="1:10">
      <c r="A18" s="86" t="s">
        <v>36</v>
      </c>
      <c r="B18" s="87">
        <v>396</v>
      </c>
      <c r="C18" s="87">
        <v>151</v>
      </c>
      <c r="D18" s="87">
        <v>547</v>
      </c>
      <c r="E18" s="87">
        <v>108</v>
      </c>
      <c r="F18" s="87">
        <v>39</v>
      </c>
      <c r="G18" s="87">
        <v>147</v>
      </c>
      <c r="H18" s="87">
        <v>504</v>
      </c>
      <c r="I18" s="87">
        <v>190</v>
      </c>
      <c r="J18" s="87">
        <v>694</v>
      </c>
    </row>
    <row r="19" spans="1:10">
      <c r="A19" s="86" t="s">
        <v>37</v>
      </c>
      <c r="B19" s="87">
        <v>112</v>
      </c>
      <c r="C19" s="87">
        <v>47</v>
      </c>
      <c r="D19" s="87">
        <v>159</v>
      </c>
      <c r="E19" s="87">
        <v>29</v>
      </c>
      <c r="F19" s="87">
        <v>16</v>
      </c>
      <c r="G19" s="87">
        <v>45</v>
      </c>
      <c r="H19" s="87">
        <v>141</v>
      </c>
      <c r="I19" s="87">
        <v>63</v>
      </c>
      <c r="J19" s="87">
        <v>204</v>
      </c>
    </row>
    <row r="20" spans="1:10">
      <c r="A20" s="86" t="s">
        <v>38</v>
      </c>
      <c r="B20" s="87">
        <v>367</v>
      </c>
      <c r="C20" s="87">
        <v>28</v>
      </c>
      <c r="D20" s="87">
        <v>395</v>
      </c>
      <c r="E20" s="87">
        <v>517</v>
      </c>
      <c r="F20" s="87">
        <v>46</v>
      </c>
      <c r="G20" s="87">
        <v>563</v>
      </c>
      <c r="H20" s="87">
        <v>884</v>
      </c>
      <c r="I20" s="87">
        <v>74</v>
      </c>
      <c r="J20" s="87">
        <v>958</v>
      </c>
    </row>
    <row r="21" spans="1:10">
      <c r="A21" s="86" t="s">
        <v>39</v>
      </c>
      <c r="B21" s="87">
        <v>339</v>
      </c>
      <c r="C21" s="87">
        <v>44</v>
      </c>
      <c r="D21" s="87">
        <v>383</v>
      </c>
      <c r="E21" s="87">
        <v>58</v>
      </c>
      <c r="F21" s="87">
        <v>11</v>
      </c>
      <c r="G21" s="87">
        <v>69</v>
      </c>
      <c r="H21" s="87">
        <v>397</v>
      </c>
      <c r="I21" s="87">
        <v>55</v>
      </c>
      <c r="J21" s="87">
        <v>452</v>
      </c>
    </row>
    <row r="22" spans="1:10">
      <c r="A22" s="86" t="s">
        <v>40</v>
      </c>
      <c r="B22" s="87">
        <v>78</v>
      </c>
      <c r="C22" s="87">
        <v>2</v>
      </c>
      <c r="D22" s="87">
        <v>80</v>
      </c>
      <c r="E22" s="87">
        <v>9</v>
      </c>
      <c r="F22" s="87">
        <v>1</v>
      </c>
      <c r="G22" s="87">
        <v>10</v>
      </c>
      <c r="H22" s="87">
        <v>87</v>
      </c>
      <c r="I22" s="87">
        <v>3</v>
      </c>
      <c r="J22" s="87">
        <v>90</v>
      </c>
    </row>
    <row r="23" spans="1:10">
      <c r="A23" s="86" t="s">
        <v>41</v>
      </c>
      <c r="B23" s="88">
        <v>1911</v>
      </c>
      <c r="C23" s="87">
        <v>539</v>
      </c>
      <c r="D23" s="88">
        <v>2450</v>
      </c>
      <c r="E23" s="88">
        <v>1223</v>
      </c>
      <c r="F23" s="88">
        <v>1177</v>
      </c>
      <c r="G23" s="88">
        <v>2400</v>
      </c>
      <c r="H23" s="88">
        <v>3134</v>
      </c>
      <c r="I23" s="88">
        <v>1716</v>
      </c>
      <c r="J23" s="88">
        <v>4850</v>
      </c>
    </row>
    <row r="24" spans="1:10" ht="22.5">
      <c r="A24" s="86" t="s">
        <v>42</v>
      </c>
      <c r="B24" s="87">
        <v>141</v>
      </c>
      <c r="C24" s="87">
        <v>11</v>
      </c>
      <c r="D24" s="87">
        <v>152</v>
      </c>
      <c r="E24" s="87">
        <v>39</v>
      </c>
      <c r="F24" s="87">
        <v>1</v>
      </c>
      <c r="G24" s="87">
        <v>40</v>
      </c>
      <c r="H24" s="87">
        <v>180</v>
      </c>
      <c r="I24" s="87">
        <v>12</v>
      </c>
      <c r="J24" s="87">
        <v>192</v>
      </c>
    </row>
    <row r="25" spans="1:10" ht="22.5">
      <c r="A25" s="86" t="s">
        <v>43</v>
      </c>
      <c r="B25" s="87">
        <v>324</v>
      </c>
      <c r="C25" s="87">
        <v>41</v>
      </c>
      <c r="D25" s="87">
        <v>365</v>
      </c>
      <c r="E25" s="87">
        <v>642</v>
      </c>
      <c r="F25" s="87">
        <v>76</v>
      </c>
      <c r="G25" s="87">
        <v>718</v>
      </c>
      <c r="H25" s="87">
        <v>967</v>
      </c>
      <c r="I25" s="87">
        <v>117</v>
      </c>
      <c r="J25" s="88">
        <v>1084</v>
      </c>
    </row>
    <row r="26" spans="1:10">
      <c r="A26" s="86" t="s">
        <v>44</v>
      </c>
      <c r="B26" s="87">
        <v>86</v>
      </c>
      <c r="C26" s="87">
        <v>15</v>
      </c>
      <c r="D26" s="87">
        <v>101</v>
      </c>
      <c r="E26" s="87">
        <v>22</v>
      </c>
      <c r="F26" s="87">
        <v>7</v>
      </c>
      <c r="G26" s="87">
        <v>29</v>
      </c>
      <c r="H26" s="87">
        <v>108</v>
      </c>
      <c r="I26" s="87">
        <v>22</v>
      </c>
      <c r="J26" s="87">
        <v>130</v>
      </c>
    </row>
    <row r="27" spans="1:10">
      <c r="A27" s="86" t="s">
        <v>45</v>
      </c>
      <c r="B27" s="87">
        <v>657</v>
      </c>
      <c r="C27" s="87">
        <v>284</v>
      </c>
      <c r="D27" s="87">
        <v>941</v>
      </c>
      <c r="E27" s="87">
        <v>171</v>
      </c>
      <c r="F27" s="87">
        <v>83</v>
      </c>
      <c r="G27" s="87">
        <v>254</v>
      </c>
      <c r="H27" s="87">
        <v>828</v>
      </c>
      <c r="I27" s="87">
        <v>367</v>
      </c>
      <c r="J27" s="88">
        <v>1195</v>
      </c>
    </row>
    <row r="28" spans="1:10">
      <c r="A28" s="86" t="s">
        <v>46</v>
      </c>
      <c r="B28" s="87">
        <v>169</v>
      </c>
      <c r="C28" s="87">
        <v>22</v>
      </c>
      <c r="D28" s="87">
        <v>191</v>
      </c>
      <c r="E28" s="87">
        <v>434</v>
      </c>
      <c r="F28" s="87">
        <v>48</v>
      </c>
      <c r="G28" s="87">
        <v>482</v>
      </c>
      <c r="H28" s="87">
        <v>603</v>
      </c>
      <c r="I28" s="87">
        <v>70</v>
      </c>
      <c r="J28" s="87">
        <v>673</v>
      </c>
    </row>
    <row r="29" spans="1:10">
      <c r="A29" s="86" t="s">
        <v>47</v>
      </c>
      <c r="B29" s="88">
        <v>5943</v>
      </c>
      <c r="C29" s="88">
        <v>2579</v>
      </c>
      <c r="D29" s="88">
        <v>8522</v>
      </c>
      <c r="E29" s="88">
        <v>4283</v>
      </c>
      <c r="F29" s="87">
        <v>906</v>
      </c>
      <c r="G29" s="88">
        <v>5189</v>
      </c>
      <c r="H29" s="88">
        <v>10228</v>
      </c>
      <c r="I29" s="88">
        <v>3485</v>
      </c>
      <c r="J29" s="88">
        <v>13713</v>
      </c>
    </row>
    <row r="30" spans="1:10">
      <c r="A30" s="86" t="s">
        <v>48</v>
      </c>
      <c r="B30" s="87">
        <v>79</v>
      </c>
      <c r="C30" s="87">
        <v>6</v>
      </c>
      <c r="D30" s="87">
        <v>85</v>
      </c>
      <c r="E30" s="87">
        <v>5</v>
      </c>
      <c r="F30" s="87">
        <v>3</v>
      </c>
      <c r="G30" s="87">
        <v>8</v>
      </c>
      <c r="H30" s="87">
        <v>84</v>
      </c>
      <c r="I30" s="87">
        <v>9</v>
      </c>
      <c r="J30" s="87">
        <v>93</v>
      </c>
    </row>
    <row r="31" spans="1:10" ht="15" thickBot="1">
      <c r="A31" s="89" t="s">
        <v>49</v>
      </c>
      <c r="B31" s="90">
        <v>28</v>
      </c>
      <c r="C31" s="90">
        <v>1</v>
      </c>
      <c r="D31" s="90">
        <v>29</v>
      </c>
      <c r="E31" s="90">
        <v>10</v>
      </c>
      <c r="F31" s="90">
        <v>0</v>
      </c>
      <c r="G31" s="90">
        <v>10</v>
      </c>
      <c r="H31" s="90">
        <v>38</v>
      </c>
      <c r="I31" s="90">
        <v>1</v>
      </c>
      <c r="J31" s="90">
        <v>39</v>
      </c>
    </row>
    <row r="33" spans="1:7" ht="15">
      <c r="A33" s="115" t="s">
        <v>92</v>
      </c>
      <c r="B33" s="115"/>
      <c r="C33" s="115"/>
      <c r="D33" s="115"/>
      <c r="E33" s="115"/>
      <c r="F33" s="115"/>
      <c r="G33" s="115"/>
    </row>
  </sheetData>
  <mergeCells count="5">
    <mergeCell ref="B2:D2"/>
    <mergeCell ref="E2:G2"/>
    <mergeCell ref="H2:J2"/>
    <mergeCell ref="A1:J1"/>
    <mergeCell ref="A33:G3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Gráficos</vt:lpstr>
      </vt:variant>
      <vt:variant>
        <vt:i4>2</vt:i4>
      </vt:variant>
    </vt:vector>
  </HeadingPairs>
  <TitlesOfParts>
    <vt:vector size="12" baseType="lpstr">
      <vt:lpstr>DADOS DO GRÁFICO 10.1</vt:lpstr>
      <vt:lpstr>Gráfico 10.2</vt:lpstr>
      <vt:lpstr>DADOS DO GRÁFICO 10.3</vt:lpstr>
      <vt:lpstr>Tab 10.1</vt:lpstr>
      <vt:lpstr>Tab 10.2</vt:lpstr>
      <vt:lpstr>Tab 10.3 e 10.4</vt:lpstr>
      <vt:lpstr>Tab 10.5 e 10.6</vt:lpstr>
      <vt:lpstr>Mapa 10.1</vt:lpstr>
      <vt:lpstr>Tab 10.7</vt:lpstr>
      <vt:lpstr>Tab 10.8</vt:lpstr>
      <vt:lpstr>Gráfico 10.1</vt:lpstr>
      <vt:lpstr>Gráfico 10.3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Amélia Camarano</dc:creator>
  <cp:lastModifiedBy>Gabriel Lins</cp:lastModifiedBy>
  <dcterms:created xsi:type="dcterms:W3CDTF">2025-04-11T18:18:52Z</dcterms:created>
  <dcterms:modified xsi:type="dcterms:W3CDTF">2025-04-17T16:21:31Z</dcterms:modified>
</cp:coreProperties>
</file>